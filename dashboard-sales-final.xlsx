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drawings/drawing2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slicers/slicer2.xml" ContentType="application/vnd.ms-excel.slicer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gisla\Desktop\DIO\TOTVS\"/>
    </mc:Choice>
  </mc:AlternateContent>
  <xr:revisionPtr revIDLastSave="0" documentId="13_ncr:1_{681B29D6-80D6-4291-A9C3-840F5A9B1ADA}" xr6:coauthVersionLast="47" xr6:coauthVersionMax="47" xr10:uidLastSave="{00000000-0000-0000-0000-000000000000}"/>
  <bookViews>
    <workbookView xWindow="-96" yWindow="-96" windowWidth="20928" windowHeight="12432" tabRatio="0" firstSheet="5" activeTab="5" xr2:uid="{3ED2BB9E-09C5-4456-A1D8-699732DF48D5}"/>
  </bookViews>
  <sheets>
    <sheet name="Assets" sheetId="2" state="hidden" r:id="rId1"/>
    <sheet name="Base Origin" sheetId="6" state="hidden" r:id="rId2"/>
    <sheet name="Base" sheetId="7" state="hidden" r:id="rId3"/>
    <sheet name="Calculation" sheetId="3" state="hidden" r:id="rId4"/>
    <sheet name="Dashboard - Page 01" sheetId="4" r:id="rId5"/>
    <sheet name="Dashboard - Page 02" sheetId="9" r:id="rId6"/>
  </sheets>
  <definedNames>
    <definedName name="DadosExternos_1" localSheetId="2" hidden="1">Base!$A$1:$X$351</definedName>
    <definedName name="SegmentaçãodeDados_Category">#N/A</definedName>
    <definedName name="SegmentaçãodeDados_Region">#N/A</definedName>
    <definedName name="SegmentaçãodeDados_Store_Name">#N/A</definedName>
  </definedNames>
  <calcPr calcId="191029"/>
  <pivotCaches>
    <pivotCache cacheId="45" r:id="rId7"/>
  </pivotCaches>
  <extLst>
    <ext xmlns:x14="http://schemas.microsoft.com/office/spreadsheetml/2009/9/main" uri="{BBE1A952-AA13-448e-AADC-164F8A28A991}">
      <x14:slicerCaches>
        <x14:slicerCache r:id="rId8"/>
        <x14:slicerCache r:id="rId9"/>
        <x14:slicerCache r:id="rId10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N8" i="3" l="1"/>
  <c r="AN7" i="3"/>
  <c r="AH9" i="3"/>
  <c r="AH8" i="3"/>
  <c r="AH7" i="3"/>
  <c r="AO8" i="3"/>
  <c r="AO7" i="3"/>
  <c r="AI9" i="3"/>
  <c r="AI8" i="3"/>
  <c r="AI7" i="3"/>
  <c r="I25" i="3"/>
  <c r="H25" i="3"/>
  <c r="G25" i="3"/>
  <c r="F25" i="3"/>
  <c r="E25" i="3"/>
  <c r="D25" i="3"/>
  <c r="N25" i="3"/>
  <c r="M25" i="3"/>
  <c r="L25" i="3"/>
  <c r="K25" i="3"/>
  <c r="J25" i="3"/>
  <c r="C25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DC0DEB1-DE92-45F5-815D-2E99C72B05FB}" keepAlive="1" name="Consulta - tbl_base" description="Conexão com a consulta 'tbl_base' na pasta de trabalho." type="5" refreshedVersion="8" background="1" saveData="1">
    <dbPr connection="Provider=Microsoft.Mashup.OleDb.1;Data Source=$Workbook$;Location=tbl_base;Extended Properties=&quot;&quot;" command="SELECT * FROM [tbl_base]"/>
  </connection>
</connections>
</file>

<file path=xl/sharedStrings.xml><?xml version="1.0" encoding="utf-8"?>
<sst xmlns="http://schemas.openxmlformats.org/spreadsheetml/2006/main" count="9602" uniqueCount="524">
  <si>
    <t>Color Scheme</t>
  </si>
  <si>
    <t>Font:</t>
  </si>
  <si>
    <t>Archivo Condensed Black</t>
  </si>
  <si>
    <t>#BD0017</t>
  </si>
  <si>
    <t>#FFC72C</t>
  </si>
  <si>
    <t>#FFFFFF</t>
  </si>
  <si>
    <t>#000000</t>
  </si>
  <si>
    <t>#ED1409</t>
  </si>
  <si>
    <t>#808080</t>
  </si>
  <si>
    <t>Order_ID</t>
  </si>
  <si>
    <t>Date</t>
  </si>
  <si>
    <t>Quarter</t>
  </si>
  <si>
    <t>Day_of_Week</t>
  </si>
  <si>
    <t>Shift</t>
  </si>
  <si>
    <t>Store_ID</t>
  </si>
  <si>
    <t>Store_Name</t>
  </si>
  <si>
    <t>City</t>
  </si>
  <si>
    <t>State</t>
  </si>
  <si>
    <t>Region</t>
  </si>
  <si>
    <t>Category</t>
  </si>
  <si>
    <t>Product</t>
  </si>
  <si>
    <t>Quantity</t>
  </si>
  <si>
    <t>Unit_Price</t>
  </si>
  <si>
    <t>Gross_Revenue</t>
  </si>
  <si>
    <t>Discount_Tier</t>
  </si>
  <si>
    <t>Discount_Amount</t>
  </si>
  <si>
    <t>Net_Revenue</t>
  </si>
  <si>
    <t>Cost_Of_Goods_Sold</t>
  </si>
  <si>
    <t>Gross_Profit</t>
  </si>
  <si>
    <t>Sales_Channel</t>
  </si>
  <si>
    <t>Payment_Method</t>
  </si>
  <si>
    <t>Customer_Satisfaction</t>
  </si>
  <si>
    <t>ORD-00240</t>
  </si>
  <si>
    <t>Q1</t>
  </si>
  <si>
    <t>Wednesday</t>
  </si>
  <si>
    <t>Morning (6am-12pm)</t>
  </si>
  <si>
    <t>MA-004</t>
  </si>
  <si>
    <t>South Bay Center</t>
  </si>
  <si>
    <t>Boston</t>
  </si>
  <si>
    <t>MA</t>
  </si>
  <si>
    <t>Greater Boston</t>
  </si>
  <si>
    <t>Beverages</t>
  </si>
  <si>
    <t>McCafe Frappe</t>
  </si>
  <si>
    <t>Uber Eats</t>
  </si>
  <si>
    <t>Credit Card</t>
  </si>
  <si>
    <t>ORD-00120</t>
  </si>
  <si>
    <t>Thursday</t>
  </si>
  <si>
    <t>Overnight (12am-6am)</t>
  </si>
  <si>
    <t>MA-008</t>
  </si>
  <si>
    <t>Northshore Mall</t>
  </si>
  <si>
    <t>Peabody</t>
  </si>
  <si>
    <t>North Shore</t>
  </si>
  <si>
    <t>McCafé</t>
  </si>
  <si>
    <t>Blueberry Muffin</t>
  </si>
  <si>
    <t>Self-Service Kiosk</t>
  </si>
  <si>
    <t>Cash</t>
  </si>
  <si>
    <t>ORD-00186</t>
  </si>
  <si>
    <t>Friday</t>
  </si>
  <si>
    <t>MA-005</t>
  </si>
  <si>
    <t>Arsenal Yards</t>
  </si>
  <si>
    <t>Watertown</t>
  </si>
  <si>
    <t>Combo Meals</t>
  </si>
  <si>
    <t>Big Mac Combo</t>
  </si>
  <si>
    <t>Apple Pay</t>
  </si>
  <si>
    <t>ORD-00090</t>
  </si>
  <si>
    <t>Evening (6pm-12am)</t>
  </si>
  <si>
    <t>Desserts</t>
  </si>
  <si>
    <t>Soft Serve Cone</t>
  </si>
  <si>
    <t>ORD-00190</t>
  </si>
  <si>
    <t>Saturday</t>
  </si>
  <si>
    <t>Afternoon (12pm-6pm)</t>
  </si>
  <si>
    <t>Cappuccino</t>
  </si>
  <si>
    <t>DoorDash</t>
  </si>
  <si>
    <t>EBT</t>
  </si>
  <si>
    <t>ORD-00085</t>
  </si>
  <si>
    <t>Monday</t>
  </si>
  <si>
    <t>MA-003</t>
  </si>
  <si>
    <t>Downtown Boston</t>
  </si>
  <si>
    <t>Sides</t>
  </si>
  <si>
    <t>Large Fries</t>
  </si>
  <si>
    <t>ORD-00062</t>
  </si>
  <si>
    <t>Tuesday</t>
  </si>
  <si>
    <t>MA-002</t>
  </si>
  <si>
    <t>Framingham Centre</t>
  </si>
  <si>
    <t>Framingham</t>
  </si>
  <si>
    <t>MetroWest</t>
  </si>
  <si>
    <t>McFlurry M&amp;M</t>
  </si>
  <si>
    <t>Google Pay</t>
  </si>
  <si>
    <t>ORD-00215</t>
  </si>
  <si>
    <t>MA-009</t>
  </si>
  <si>
    <t>Independence Mall</t>
  </si>
  <si>
    <t>Kingston</t>
  </si>
  <si>
    <t>South Shore</t>
  </si>
  <si>
    <t>Drive-Thru</t>
  </si>
  <si>
    <t>ORD-00014</t>
  </si>
  <si>
    <t>Hot Fudge Sundae</t>
  </si>
  <si>
    <t>ORD-00199</t>
  </si>
  <si>
    <t>Side Salad</t>
  </si>
  <si>
    <t>ORD-00105</t>
  </si>
  <si>
    <t>Sunday</t>
  </si>
  <si>
    <t>Burgers</t>
  </si>
  <si>
    <t>McDouble</t>
  </si>
  <si>
    <t>Counter</t>
  </si>
  <si>
    <t>ORD-00088</t>
  </si>
  <si>
    <t>MA-001</t>
  </si>
  <si>
    <t>Natick Mall</t>
  </si>
  <si>
    <t>Natick</t>
  </si>
  <si>
    <t>McFlurry Oreo</t>
  </si>
  <si>
    <t>ORD-00002</t>
  </si>
  <si>
    <t>Soft Drink L</t>
  </si>
  <si>
    <t>ORD-00153</t>
  </si>
  <si>
    <t>Quarter Pounder w/ Cheese</t>
  </si>
  <si>
    <t>ORD-00185</t>
  </si>
  <si>
    <t>ORD-00121</t>
  </si>
  <si>
    <t>MA-007</t>
  </si>
  <si>
    <t>Burlington Mall</t>
  </si>
  <si>
    <t>Burlington</t>
  </si>
  <si>
    <t>McChicken</t>
  </si>
  <si>
    <t>ORD-00278</t>
  </si>
  <si>
    <t>Happy Meal</t>
  </si>
  <si>
    <t>ORD-00321</t>
  </si>
  <si>
    <t>McChicken Combo</t>
  </si>
  <si>
    <t>ORD-00030</t>
  </si>
  <si>
    <t>McDonald's App</t>
  </si>
  <si>
    <t>ORD-00274</t>
  </si>
  <si>
    <t>Orange Juice</t>
  </si>
  <si>
    <t>ORD-00078</t>
  </si>
  <si>
    <t>ORD-00138</t>
  </si>
  <si>
    <t>ORD-00161</t>
  </si>
  <si>
    <t>ORD-00152</t>
  </si>
  <si>
    <t>ORD-00069</t>
  </si>
  <si>
    <t>MA-010</t>
  </si>
  <si>
    <t>Cape Cod Mall</t>
  </si>
  <si>
    <t>Hyannis</t>
  </si>
  <si>
    <t>Cape Cod</t>
  </si>
  <si>
    <t>Espresso</t>
  </si>
  <si>
    <t>ORD-00309</t>
  </si>
  <si>
    <t>ORD-00048</t>
  </si>
  <si>
    <t>McNuggets 6pc</t>
  </si>
  <si>
    <t>ORD-00254</t>
  </si>
  <si>
    <t>ORD-00159</t>
  </si>
  <si>
    <t>McNuggets 10pc</t>
  </si>
  <si>
    <t>ORD-00067</t>
  </si>
  <si>
    <t>Medium Fries</t>
  </si>
  <si>
    <t>Debit Card</t>
  </si>
  <si>
    <t>ORD-00116</t>
  </si>
  <si>
    <t>ORD-00072</t>
  </si>
  <si>
    <t>ORD-00259</t>
  </si>
  <si>
    <t>ORD-00127</t>
  </si>
  <si>
    <t>ORD-00213</t>
  </si>
  <si>
    <t>ORD-00343</t>
  </si>
  <si>
    <t>ORD-00219</t>
  </si>
  <si>
    <t>ORD-00047</t>
  </si>
  <si>
    <t>ORD-00311</t>
  </si>
  <si>
    <t>Bottled Water</t>
  </si>
  <si>
    <t>ORD-00206</t>
  </si>
  <si>
    <t>ORD-00089</t>
  </si>
  <si>
    <t>ORD-00217</t>
  </si>
  <si>
    <t>ORD-00193</t>
  </si>
  <si>
    <t>ORD-00150</t>
  </si>
  <si>
    <t>ORD-00285</t>
  </si>
  <si>
    <t>Quarter Pounder Combo</t>
  </si>
  <si>
    <t>ORD-00303</t>
  </si>
  <si>
    <t>MA-006</t>
  </si>
  <si>
    <t>Solomon Pond Mall</t>
  </si>
  <si>
    <t>Marlborough</t>
  </si>
  <si>
    <t>ORD-00033</t>
  </si>
  <si>
    <t>ORD-00146</t>
  </si>
  <si>
    <t>ORD-00013</t>
  </si>
  <si>
    <t>Croissant</t>
  </si>
  <si>
    <t>ORD-00143</t>
  </si>
  <si>
    <t>ORD-00200</t>
  </si>
  <si>
    <t>ORD-00055</t>
  </si>
  <si>
    <t>ORD-00106</t>
  </si>
  <si>
    <t>ORD-00096</t>
  </si>
  <si>
    <t>ORD-00247</t>
  </si>
  <si>
    <t>ORD-00243</t>
  </si>
  <si>
    <t>ORD-00077</t>
  </si>
  <si>
    <t>ORD-00208</t>
  </si>
  <si>
    <t>ORD-00269</t>
  </si>
  <si>
    <t>Latte</t>
  </si>
  <si>
    <t>ORD-00158</t>
  </si>
  <si>
    <t>ORD-00339</t>
  </si>
  <si>
    <t>Apple Pie</t>
  </si>
  <si>
    <t>ORD-00066</t>
  </si>
  <si>
    <t>Big Mac</t>
  </si>
  <si>
    <t>ORD-00051</t>
  </si>
  <si>
    <t>ORD-00095</t>
  </si>
  <si>
    <t>ORD-00337</t>
  </si>
  <si>
    <t>ORD-00134</t>
  </si>
  <si>
    <t>ORD-00178</t>
  </si>
  <si>
    <t>ORD-00010</t>
  </si>
  <si>
    <t>ORD-00173</t>
  </si>
  <si>
    <t>ORD-00232</t>
  </si>
  <si>
    <t>ORD-00284</t>
  </si>
  <si>
    <t>ORD-00189</t>
  </si>
  <si>
    <t>ORD-00326</t>
  </si>
  <si>
    <t>ORD-00313</t>
  </si>
  <si>
    <t>ORD-00194</t>
  </si>
  <si>
    <t>ORD-00080</t>
  </si>
  <si>
    <t>ORD-00070</t>
  </si>
  <si>
    <t>ORD-00168</t>
  </si>
  <si>
    <t>ORD-00333</t>
  </si>
  <si>
    <t>ORD-00046</t>
  </si>
  <si>
    <t>ORD-00291</t>
  </si>
  <si>
    <t>ORD-00076</t>
  </si>
  <si>
    <t>ORD-00176</t>
  </si>
  <si>
    <t>ORD-00292</t>
  </si>
  <si>
    <t>ORD-00287</t>
  </si>
  <si>
    <t>ORD-00297</t>
  </si>
  <si>
    <t>ORD-00298</t>
  </si>
  <si>
    <t>ORD-00332</t>
  </si>
  <si>
    <t>Q2</t>
  </si>
  <si>
    <t>ORD-00197</t>
  </si>
  <si>
    <t>ORD-00231</t>
  </si>
  <si>
    <t>Double Quarter Pounder</t>
  </si>
  <si>
    <t>ORD-00147</t>
  </si>
  <si>
    <t>ORD-00083</t>
  </si>
  <si>
    <t>ORD-00207</t>
  </si>
  <si>
    <t>ORD-00317</t>
  </si>
  <si>
    <t>McCafe Smoothie</t>
  </si>
  <si>
    <t>ORD-00327</t>
  </si>
  <si>
    <t>ORD-00019</t>
  </si>
  <si>
    <t>ORD-00081</t>
  </si>
  <si>
    <t>ORD-00245</t>
  </si>
  <si>
    <t>ORD-00276</t>
  </si>
  <si>
    <t>ORD-00182</t>
  </si>
  <si>
    <t>ORD-00267</t>
  </si>
  <si>
    <t>ORD-00304</t>
  </si>
  <si>
    <t>ORD-00306</t>
  </si>
  <si>
    <t>ORD-00237</t>
  </si>
  <si>
    <t>ORD-00022</t>
  </si>
  <si>
    <t>ORD-00110</t>
  </si>
  <si>
    <t>ORD-00246</t>
  </si>
  <si>
    <t>ORD-00329</t>
  </si>
  <si>
    <t>ORD-00183</t>
  </si>
  <si>
    <t>ORD-00239</t>
  </si>
  <si>
    <t>ORD-00104</t>
  </si>
  <si>
    <t>ORD-00294</t>
  </si>
  <si>
    <t>Soft Drink M</t>
  </si>
  <si>
    <t>ORD-00071</t>
  </si>
  <si>
    <t>ORD-00202</t>
  </si>
  <si>
    <t>ORD-00098</t>
  </si>
  <si>
    <t>Filet-O-Fish</t>
  </si>
  <si>
    <t>ORD-00018</t>
  </si>
  <si>
    <t>ORD-00026</t>
  </si>
  <si>
    <t>ORD-00268</t>
  </si>
  <si>
    <t>ORD-00054</t>
  </si>
  <si>
    <t>ORD-00007</t>
  </si>
  <si>
    <t>ORD-00216</t>
  </si>
  <si>
    <t>ORD-00235</t>
  </si>
  <si>
    <t>ORD-00052</t>
  </si>
  <si>
    <t>ORD-00170</t>
  </si>
  <si>
    <t>ORD-00227</t>
  </si>
  <si>
    <t>ORD-00308</t>
  </si>
  <si>
    <t>ORD-00270</t>
  </si>
  <si>
    <t>ORD-00340</t>
  </si>
  <si>
    <t>ORD-00073</t>
  </si>
  <si>
    <t>ORD-00075</t>
  </si>
  <si>
    <t>ORD-00003</t>
  </si>
  <si>
    <t>ORD-00114</t>
  </si>
  <si>
    <t>ORD-00101</t>
  </si>
  <si>
    <t>ORD-00250</t>
  </si>
  <si>
    <t>ORD-00093</t>
  </si>
  <si>
    <t>ORD-00141</t>
  </si>
  <si>
    <t>ORD-00087</t>
  </si>
  <si>
    <t>ORD-00167</t>
  </si>
  <si>
    <t>ORD-00065</t>
  </si>
  <si>
    <t>ORD-00082</t>
  </si>
  <si>
    <t>ORD-00203</t>
  </si>
  <si>
    <t>ORD-00205</t>
  </si>
  <si>
    <t>ORD-00220</t>
  </si>
  <si>
    <t>ORD-00091</t>
  </si>
  <si>
    <t>ORD-00099</t>
  </si>
  <si>
    <t>ORD-00119</t>
  </si>
  <si>
    <t>ORD-00008</t>
  </si>
  <si>
    <t>ORD-00290</t>
  </si>
  <si>
    <t>ORD-00295</t>
  </si>
  <si>
    <t>ORD-00222</t>
  </si>
  <si>
    <t>ORD-00280</t>
  </si>
  <si>
    <t>ORD-00211</t>
  </si>
  <si>
    <t>ORD-00286</t>
  </si>
  <si>
    <t>ORD-00315</t>
  </si>
  <si>
    <t>ORD-00034</t>
  </si>
  <si>
    <t>ORD-00300</t>
  </si>
  <si>
    <t>ORD-00060</t>
  </si>
  <si>
    <t>ORD-00017</t>
  </si>
  <si>
    <t>ORD-00238</t>
  </si>
  <si>
    <t>ORD-00204</t>
  </si>
  <si>
    <t>ORD-00166</t>
  </si>
  <si>
    <t>ORD-00037</t>
  </si>
  <si>
    <t>ORD-00004</t>
  </si>
  <si>
    <t>ORD-00132</t>
  </si>
  <si>
    <t>ORD-00169</t>
  </si>
  <si>
    <t>ORD-00179</t>
  </si>
  <si>
    <t>ORD-00209</t>
  </si>
  <si>
    <t>Q3</t>
  </si>
  <si>
    <t>ORD-00319</t>
  </si>
  <si>
    <t>ORD-00005</t>
  </si>
  <si>
    <t>ORD-00136</t>
  </si>
  <si>
    <t>ORD-00130</t>
  </si>
  <si>
    <t>ORD-00253</t>
  </si>
  <si>
    <t>ORD-00149</t>
  </si>
  <si>
    <t>ORD-00100</t>
  </si>
  <si>
    <t>ORD-00154</t>
  </si>
  <si>
    <t>ORD-00257</t>
  </si>
  <si>
    <t>ORD-00111</t>
  </si>
  <si>
    <t>ORD-00140</t>
  </si>
  <si>
    <t>ORD-00334</t>
  </si>
  <si>
    <t>ORD-00011</t>
  </si>
  <si>
    <t>ORD-00335</t>
  </si>
  <si>
    <t>ORD-00226</t>
  </si>
  <si>
    <t>ORD-00224</t>
  </si>
  <si>
    <t>ORD-00279</t>
  </si>
  <si>
    <t>ORD-00097</t>
  </si>
  <si>
    <t>ORD-00181</t>
  </si>
  <si>
    <t>ORD-00036</t>
  </si>
  <si>
    <t>ORD-00020</t>
  </si>
  <si>
    <t>ORD-00122</t>
  </si>
  <si>
    <t>ORD-00251</t>
  </si>
  <si>
    <t>ORD-00288</t>
  </si>
  <si>
    <t>ORD-00261</t>
  </si>
  <si>
    <t>ORD-00331</t>
  </si>
  <si>
    <t>ORD-00210</t>
  </si>
  <si>
    <t>ORD-00144</t>
  </si>
  <si>
    <t>ORD-00068</t>
  </si>
  <si>
    <t>ORD-00301</t>
  </si>
  <si>
    <t>ORD-00273</t>
  </si>
  <si>
    <t>ORD-00323</t>
  </si>
  <si>
    <t>ORD-00262</t>
  </si>
  <si>
    <t>ORD-00256</t>
  </si>
  <si>
    <t>ORD-00032</t>
  </si>
  <si>
    <t>ORD-00229</t>
  </si>
  <si>
    <t>ORD-00336</t>
  </si>
  <si>
    <t>ORD-00345</t>
  </si>
  <si>
    <t>ORD-00177</t>
  </si>
  <si>
    <t>ORD-00041</t>
  </si>
  <si>
    <t>ORD-00118</t>
  </si>
  <si>
    <t>ORD-00108</t>
  </si>
  <si>
    <t>ORD-00320</t>
  </si>
  <si>
    <t>ORD-00151</t>
  </si>
  <si>
    <t>ORD-00225</t>
  </si>
  <si>
    <t>ORD-00129</t>
  </si>
  <si>
    <t>ORD-00302</t>
  </si>
  <si>
    <t>ORD-00165</t>
  </si>
  <si>
    <t>ORD-00275</t>
  </si>
  <si>
    <t>ORD-00242</t>
  </si>
  <si>
    <t>ORD-00241</t>
  </si>
  <si>
    <t>ORD-00058</t>
  </si>
  <si>
    <t>ORD-00035</t>
  </si>
  <si>
    <t>ORD-00128</t>
  </si>
  <si>
    <t>ORD-00045</t>
  </si>
  <si>
    <t>ORD-00281</t>
  </si>
  <si>
    <t>ORD-00187</t>
  </si>
  <si>
    <t>ORD-00330</t>
  </si>
  <si>
    <t>ORD-00145</t>
  </si>
  <si>
    <t>ORD-00043</t>
  </si>
  <si>
    <t>ORD-00184</t>
  </si>
  <si>
    <t>ORD-00024</t>
  </si>
  <si>
    <t>ORD-00346</t>
  </si>
  <si>
    <t>ORD-00258</t>
  </si>
  <si>
    <t>ORD-00342</t>
  </si>
  <si>
    <t>ORD-00347</t>
  </si>
  <si>
    <t>ORD-00236</t>
  </si>
  <si>
    <t>ORD-00348</t>
  </si>
  <si>
    <t>ORD-00212</t>
  </si>
  <si>
    <t>ORD-00156</t>
  </si>
  <si>
    <t>ORD-00228</t>
  </si>
  <si>
    <t>ORD-00155</t>
  </si>
  <si>
    <t>ORD-00264</t>
  </si>
  <si>
    <t>ORD-00233</t>
  </si>
  <si>
    <t>ORD-00318</t>
  </si>
  <si>
    <t>ORD-00272</t>
  </si>
  <si>
    <t>ORD-00172</t>
  </si>
  <si>
    <t>ORD-00271</t>
  </si>
  <si>
    <t>ORD-00139</t>
  </si>
  <si>
    <t>ORD-00195</t>
  </si>
  <si>
    <t>ORD-00148</t>
  </si>
  <si>
    <t>ORD-00061</t>
  </si>
  <si>
    <t>ORD-00124</t>
  </si>
  <si>
    <t>ORD-00015</t>
  </si>
  <si>
    <t>ORD-00338</t>
  </si>
  <si>
    <t>ORD-00038</t>
  </si>
  <si>
    <t>Q4</t>
  </si>
  <si>
    <t>ORD-00053</t>
  </si>
  <si>
    <t>ORD-00028</t>
  </si>
  <si>
    <t>ORD-00289</t>
  </si>
  <si>
    <t>ORD-00142</t>
  </si>
  <si>
    <t>ORD-00305</t>
  </si>
  <si>
    <t>ORD-00171</t>
  </si>
  <si>
    <t>ORD-00021</t>
  </si>
  <si>
    <t>ORD-00063</t>
  </si>
  <si>
    <t>ORD-00312</t>
  </si>
  <si>
    <t>ORD-00029</t>
  </si>
  <si>
    <t>ORD-00023</t>
  </si>
  <si>
    <t>ORD-00131</t>
  </si>
  <si>
    <t>ORD-00027</t>
  </si>
  <si>
    <t>ORD-00293</t>
  </si>
  <si>
    <t>ORD-00349</t>
  </si>
  <si>
    <t>ORD-00299</t>
  </si>
  <si>
    <t>ORD-00126</t>
  </si>
  <si>
    <t>ORD-00255</t>
  </si>
  <si>
    <t>ORD-00117</t>
  </si>
  <si>
    <t>ORD-00188</t>
  </si>
  <si>
    <t>ORD-00025</t>
  </si>
  <si>
    <t>ORD-00137</t>
  </si>
  <si>
    <t>ORD-00164</t>
  </si>
  <si>
    <t>ORD-00049</t>
  </si>
  <si>
    <t>ORD-00252</t>
  </si>
  <si>
    <t>ORD-00196</t>
  </si>
  <si>
    <t>ORD-00112</t>
  </si>
  <si>
    <t>ORD-00249</t>
  </si>
  <si>
    <t>ORD-00123</t>
  </si>
  <si>
    <t>ORD-00056</t>
  </si>
  <si>
    <t>ORD-00059</t>
  </si>
  <si>
    <t>ORD-00109</t>
  </si>
  <si>
    <t>ORD-00103</t>
  </si>
  <si>
    <t>ORD-00201</t>
  </si>
  <si>
    <t>ORD-00113</t>
  </si>
  <si>
    <t>ORD-00050</t>
  </si>
  <si>
    <t>ORD-00125</t>
  </si>
  <si>
    <t>ORD-00192</t>
  </si>
  <si>
    <t>ORD-00341</t>
  </si>
  <si>
    <t>ORD-00040</t>
  </si>
  <si>
    <t>ORD-00214</t>
  </si>
  <si>
    <t>ORD-00135</t>
  </si>
  <si>
    <t>ORD-00163</t>
  </si>
  <si>
    <t>ORD-00094</t>
  </si>
  <si>
    <t>ORD-00175</t>
  </si>
  <si>
    <t>ORD-00042</t>
  </si>
  <si>
    <t>ORD-00230</t>
  </si>
  <si>
    <t>ORD-00162</t>
  </si>
  <si>
    <t>ORD-00006</t>
  </si>
  <si>
    <t>ORD-00001</t>
  </si>
  <si>
    <t>ORD-00307</t>
  </si>
  <si>
    <t>ORD-00012</t>
  </si>
  <si>
    <t>ORD-00009</t>
  </si>
  <si>
    <t>ORD-00102</t>
  </si>
  <si>
    <t>ORD-00218</t>
  </si>
  <si>
    <t>ORD-00244</t>
  </si>
  <si>
    <t>ORD-00084</t>
  </si>
  <si>
    <t>ORD-00248</t>
  </si>
  <si>
    <t>ORD-00314</t>
  </si>
  <si>
    <t>ORD-00328</t>
  </si>
  <si>
    <t>ORD-00234</t>
  </si>
  <si>
    <t>ORD-00277</t>
  </si>
  <si>
    <t>ORD-00115</t>
  </si>
  <si>
    <t>ORD-00263</t>
  </si>
  <si>
    <t>ORD-00107</t>
  </si>
  <si>
    <t>ORD-00092</t>
  </si>
  <si>
    <t>ORD-00223</t>
  </si>
  <si>
    <t>ORD-00198</t>
  </si>
  <si>
    <t>ORD-00057</t>
  </si>
  <si>
    <t>ORD-00324</t>
  </si>
  <si>
    <t>ORD-00296</t>
  </si>
  <si>
    <t>ORD-00039</t>
  </si>
  <si>
    <t>ORD-00074</t>
  </si>
  <si>
    <t>ORD-00086</t>
  </si>
  <si>
    <t>ORD-00344</t>
  </si>
  <si>
    <t>ORD-00283</t>
  </si>
  <si>
    <t>ORD-00350</t>
  </si>
  <si>
    <t>ORD-00260</t>
  </si>
  <si>
    <t>ORD-00160</t>
  </si>
  <si>
    <t>ORD-00265</t>
  </si>
  <si>
    <t>ORD-00322</t>
  </si>
  <si>
    <t>ORD-00133</t>
  </si>
  <si>
    <t>ORD-00282</t>
  </si>
  <si>
    <t>ORD-00221</t>
  </si>
  <si>
    <t>ORD-00044</t>
  </si>
  <si>
    <t>ORD-00016</t>
  </si>
  <si>
    <t>ORD-00064</t>
  </si>
  <si>
    <t>ORD-00316</t>
  </si>
  <si>
    <t>ORD-00191</t>
  </si>
  <si>
    <t>ORD-00180</t>
  </si>
  <si>
    <t>ORD-00031</t>
  </si>
  <si>
    <t>ORD-00174</t>
  </si>
  <si>
    <t>ORD-00079</t>
  </si>
  <si>
    <t>ORD-00157</t>
  </si>
  <si>
    <t>ORD-00325</t>
  </si>
  <si>
    <t>ORD-00266</t>
  </si>
  <si>
    <t>ORD-00310</t>
  </si>
  <si>
    <t>Shift Desc</t>
  </si>
  <si>
    <t>Morning</t>
  </si>
  <si>
    <t>(6am-12pm)</t>
  </si>
  <si>
    <t>Overnight</t>
  </si>
  <si>
    <t>(12am-6am)</t>
  </si>
  <si>
    <t>Evening</t>
  </si>
  <si>
    <t>(6pm-12am)</t>
  </si>
  <si>
    <t>Afternoon</t>
  </si>
  <si>
    <t>(12pm-6pm)</t>
  </si>
  <si>
    <t>Light</t>
  </si>
  <si>
    <t>Moderate</t>
  </si>
  <si>
    <t>Aggressive</t>
  </si>
  <si>
    <t>Heavy</t>
  </si>
  <si>
    <t># Orders</t>
  </si>
  <si>
    <t>Gross Revenue</t>
  </si>
  <si>
    <t>Discount Amount</t>
  </si>
  <si>
    <t>Net Revenue</t>
  </si>
  <si>
    <t>COGS</t>
  </si>
  <si>
    <t>Gross Revenue %</t>
  </si>
  <si>
    <t>Discount %</t>
  </si>
  <si>
    <t>Net Revenue %</t>
  </si>
  <si>
    <t>Gross Profit %</t>
  </si>
  <si>
    <t>Gross Profit</t>
  </si>
  <si>
    <t>Gross Profit Margin %</t>
  </si>
  <si>
    <t>Rótulos de Linha</t>
  </si>
  <si>
    <t>Total Geral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</si>
  <si>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</si>
  <si>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</si>
  <si>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</si>
  <si>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</si>
  <si>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</si>
  <si>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</si>
  <si>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</si>
  <si>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</si>
  <si>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</si>
  <si>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</si>
  <si>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</si>
  <si>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</si>
  <si>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Hi, John</t>
  </si>
  <si>
    <t>Orders %</t>
  </si>
  <si>
    <t>MCDONALD'S MASSACHUSETTS | SALES DASHBOARD | 2026</t>
  </si>
  <si>
    <t>#FFE28F</t>
  </si>
  <si>
    <t>Made by Gislaine Lilo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</si>
</sst>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5">
    <numFmt numFmtId="7" formatCode="&quot;$&quot;#,##0.00_);\(&quot;$&quot;#,##0.00\)"/>
    <numFmt numFmtId="164" formatCode="mm/dd/yyyy"/>
    <numFmt numFmtId="165" formatCode="\$#,##0.00"/>
    <numFmt numFmtId="166" formatCode="0.0%"/>
    <numFmt numFmtId="170" formatCode="&quot;$&quot;#,##0.00"/>
  </numFmts>
  <fonts count="13" x14ac:knownFonts="1">
    <font>
      <sz val="11"/>
      <color theme="1"/>
      <name val="Aptos Narrow"/>
      <family val="2"/>
      <scheme val="minor"/>
    </font>
    <font>
      <sz val="9"/>
      <color theme="1"/>
      <name val="Archivo Condensed"/>
    </font>
    <font>
      <b/>
      <sz val="11"/>
      <color theme="1"/>
      <name val="Archivo Condensed"/>
    </font>
    <font>
      <sz val="11"/>
      <color theme="1"/>
      <name val="Archivo Condensed"/>
    </font>
    <font>
      <sz val="9"/>
      <color theme="0"/>
      <name val="Archivo Condensed"/>
    </font>
    <font>
      <b/>
      <sz val="9"/>
      <color rgb="FFFFFFFF"/>
      <name val="Archivo Condensed"/>
    </font>
    <font>
      <b/>
      <sz val="9"/>
      <color theme="1"/>
      <name val="Archivo Condensed"/>
    </font>
    <font>
      <sz val="9"/>
      <name val="Archivo Condensed"/>
    </font>
    <font>
      <b/>
      <sz val="16"/>
      <color theme="1"/>
      <name val="Archivo Condensed"/>
    </font>
    <font>
      <b/>
      <sz val="12"/>
      <color theme="1"/>
      <name val="Archivo Condensed"/>
    </font>
    <font>
      <b/>
      <sz val="11"/>
      <color theme="0"/>
      <name val="Archivo Condensed"/>
    </font>
    <font>
      <sz val="9"/>
      <color theme="1"/>
      <name val="Aptos Narrow"/>
      <family val="2"/>
      <scheme val="minor"/>
    </font>
    <font>
      <b/>
      <sz val="10"/>
      <color theme="0"/>
      <name val="Archivo Condensed"/>
    </font>
  </fonts>
  <fills count="11">
    <fill>
      <patternFill patternType="none"/>
    </fill>
    <fill>
      <patternFill patternType="gray125"/>
    </fill>
    <fill>
      <patternFill patternType="solid">
        <fgColor rgb="FFBD0017"/>
        <bgColor indexed="64"/>
      </patternFill>
    </fill>
    <fill>
      <patternFill patternType="solid">
        <fgColor rgb="FFFFC72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ED1409"/>
        <bgColor indexed="64"/>
      </patternFill>
    </fill>
    <fill>
      <patternFill patternType="solid">
        <fgColor rgb="FF808080"/>
        <bgColor indexed="64"/>
      </patternFill>
    </fill>
    <fill>
      <patternFill patternType="solid">
        <fgColor rgb="FFBD0017"/>
        <bgColor rgb="FFFF0000"/>
      </patternFill>
    </fill>
    <fill>
      <patternFill patternType="solid">
        <fgColor rgb="FFC00000"/>
        <bgColor indexed="64"/>
      </patternFill>
    </fill>
    <fill>
      <patternFill patternType="solid">
        <fgColor rgb="FFFFE28F"/>
        <bgColor indexed="64"/>
      </patternFill>
    </fill>
  </fills>
  <borders count="11">
    <border>
      <left/>
      <right/>
      <top/>
      <bottom/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/>
      <top/>
      <bottom style="thick">
        <color rgb="FFC00000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2" fillId="0" borderId="0" xfId="0" applyFont="1"/>
    <xf numFmtId="0" fontId="3" fillId="0" borderId="0" xfId="0" applyFont="1"/>
    <xf numFmtId="0" fontId="4" fillId="2" borderId="0" xfId="0" applyFont="1" applyFill="1"/>
    <xf numFmtId="0" fontId="1" fillId="3" borderId="0" xfId="0" applyFont="1" applyFill="1"/>
    <xf numFmtId="0" fontId="1" fillId="4" borderId="0" xfId="0" applyFont="1" applyFill="1"/>
    <xf numFmtId="0" fontId="4" fillId="5" borderId="0" xfId="0" applyFont="1" applyFill="1"/>
    <xf numFmtId="0" fontId="4" fillId="6" borderId="0" xfId="0" applyFont="1" applyFill="1"/>
    <xf numFmtId="0" fontId="4" fillId="7" borderId="0" xfId="0" applyFont="1" applyFill="1"/>
    <xf numFmtId="0" fontId="5" fillId="8" borderId="1" xfId="0" applyFont="1" applyFill="1" applyBorder="1" applyAlignment="1">
      <alignment horizontal="center" vertical="center"/>
    </xf>
    <xf numFmtId="0" fontId="5" fillId="8" borderId="2" xfId="0" applyFont="1" applyFill="1" applyBorder="1" applyAlignment="1">
      <alignment horizontal="center" vertical="center"/>
    </xf>
    <xf numFmtId="0" fontId="5" fillId="8" borderId="3" xfId="0" applyFont="1" applyFill="1" applyBorder="1" applyAlignment="1">
      <alignment horizontal="center" vertical="center"/>
    </xf>
    <xf numFmtId="0" fontId="6" fillId="0" borderId="0" xfId="0" applyFont="1"/>
    <xf numFmtId="0" fontId="7" fillId="0" borderId="4" xfId="0" applyFont="1" applyBorder="1" applyAlignment="1">
      <alignment horizontal="center"/>
    </xf>
    <xf numFmtId="164" fontId="7" fillId="0" borderId="5" xfId="0" applyNumberFormat="1" applyFont="1" applyBorder="1" applyAlignment="1">
      <alignment horizontal="center"/>
    </xf>
    <xf numFmtId="0" fontId="7" fillId="0" borderId="5" xfId="0" applyFont="1" applyBorder="1" applyAlignment="1">
      <alignment horizontal="center"/>
    </xf>
    <xf numFmtId="165" fontId="7" fillId="0" borderId="5" xfId="0" applyNumberFormat="1" applyFont="1" applyBorder="1" applyAlignment="1">
      <alignment horizontal="center"/>
    </xf>
    <xf numFmtId="0" fontId="7" fillId="0" borderId="6" xfId="0" applyFont="1" applyBorder="1" applyAlignment="1">
      <alignment horizontal="center"/>
    </xf>
    <xf numFmtId="0" fontId="1" fillId="0" borderId="0" xfId="0" applyFont="1"/>
    <xf numFmtId="0" fontId="7" fillId="0" borderId="7" xfId="0" applyFont="1" applyBorder="1" applyAlignment="1">
      <alignment horizontal="center"/>
    </xf>
    <xf numFmtId="164" fontId="7" fillId="0" borderId="8" xfId="0" applyNumberFormat="1" applyFont="1" applyBorder="1" applyAlignment="1">
      <alignment horizontal="center"/>
    </xf>
    <xf numFmtId="0" fontId="7" fillId="0" borderId="8" xfId="0" applyFont="1" applyBorder="1" applyAlignment="1">
      <alignment horizontal="center"/>
    </xf>
    <xf numFmtId="165" fontId="7" fillId="0" borderId="8" xfId="0" applyNumberFormat="1" applyFont="1" applyBorder="1" applyAlignment="1">
      <alignment horizontal="center"/>
    </xf>
    <xf numFmtId="0" fontId="7" fillId="0" borderId="9" xfId="0" applyFont="1" applyBorder="1" applyAlignment="1">
      <alignment horizontal="center"/>
    </xf>
    <xf numFmtId="14" fontId="0" fillId="0" borderId="0" xfId="0" applyNumberFormat="1"/>
    <xf numFmtId="0" fontId="0" fillId="0" borderId="0" xfId="0" applyNumberFormat="1"/>
    <xf numFmtId="7" fontId="0" fillId="0" borderId="0" xfId="0" applyNumberFormat="1"/>
    <xf numFmtId="166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2" borderId="0" xfId="0" applyFill="1"/>
    <xf numFmtId="0" fontId="0" fillId="0" borderId="0" xfId="0" applyFill="1"/>
    <xf numFmtId="170" fontId="0" fillId="0" borderId="0" xfId="0" applyNumberFormat="1"/>
    <xf numFmtId="0" fontId="8" fillId="0" borderId="10" xfId="0" applyFont="1" applyBorder="1" applyAlignment="1">
      <alignment horizontal="left" vertical="center"/>
    </xf>
    <xf numFmtId="0" fontId="0" fillId="0" borderId="10" xfId="0" applyBorder="1"/>
    <xf numFmtId="0" fontId="0" fillId="0" borderId="0" xfId="0" applyBorder="1"/>
    <xf numFmtId="0" fontId="0" fillId="0" borderId="0" xfId="0" applyAlignment="1">
      <alignment horizontal="right" vertical="center"/>
    </xf>
    <xf numFmtId="0" fontId="8" fillId="9" borderId="0" xfId="0" applyFont="1" applyFill="1" applyBorder="1" applyAlignment="1">
      <alignment horizontal="left" vertical="center"/>
    </xf>
    <xf numFmtId="0" fontId="0" fillId="9" borderId="0" xfId="0" applyFill="1" applyBorder="1"/>
    <xf numFmtId="0" fontId="9" fillId="0" borderId="0" xfId="0" applyFont="1" applyAlignment="1">
      <alignment horizontal="right" vertical="center"/>
    </xf>
    <xf numFmtId="0" fontId="0" fillId="0" borderId="0" xfId="0" applyFill="1" applyBorder="1"/>
    <xf numFmtId="0" fontId="11" fillId="0" borderId="0" xfId="0" applyFont="1" applyAlignment="1">
      <alignment horizontal="left"/>
    </xf>
    <xf numFmtId="0" fontId="1" fillId="10" borderId="0" xfId="0" applyFont="1" applyFill="1"/>
    <xf numFmtId="0" fontId="12" fillId="2" borderId="0" xfId="0" applyFont="1" applyFill="1" applyAlignment="1">
      <alignment horizontal="center"/>
    </xf>
    <xf numFmtId="0" fontId="10" fillId="2" borderId="0" xfId="0" applyFont="1" applyFill="1" applyAlignment="1">
      <alignment horizontal="center" vertical="center"/>
    </xf>
  </cellXfs>
  <cellStyles count="1">
    <cellStyle name="Normal" xfId="0" builtinId="0"/>
  </cellStyles>
  <dxfs count="49">
    <dxf>
      <numFmt numFmtId="0" formatCode="General"/>
    </dxf>
    <dxf>
      <numFmt numFmtId="19" formatCode="m/d/yyyy"/>
    </dxf>
    <dxf>
      <font>
        <b/>
        <i val="0"/>
        <sz val="11"/>
        <color theme="0"/>
        <name val="Archivo Condensed"/>
        <scheme val="none"/>
      </font>
      <border>
        <bottom style="thin">
          <color theme="4"/>
        </bottom>
        <vertical/>
        <horizontal/>
      </border>
    </dxf>
    <dxf>
      <font>
        <b/>
        <i val="0"/>
        <sz val="10"/>
        <color theme="0"/>
        <name val="Archivo Condensed"/>
        <scheme val="none"/>
      </font>
      <fill>
        <patternFill>
          <fgColor rgb="FFBD0017"/>
          <bgColor rgb="FFBD0017"/>
        </patternFill>
      </fill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border>
        <top style="thin">
          <color theme="1"/>
        </top>
        <bottom style="thin">
          <color theme="1"/>
        </bottom>
      </border>
    </dxf>
    <dxf>
      <border>
        <top style="thin">
          <color theme="1"/>
        </top>
        <bottom style="thin">
          <color theme="1"/>
        </bottom>
      </border>
    </dxf>
    <dxf>
      <fill>
        <patternFill patternType="solid">
          <fgColor theme="0" tint="-0.14999847407452621"/>
          <bgColor theme="0" tint="-0.14999847407452621"/>
        </patternFill>
      </fill>
      <border>
        <left style="thin">
          <color theme="0" tint="-0.249977111117893"/>
        </left>
        <right style="thin">
          <color theme="0" tint="-0.249977111117893"/>
        </right>
      </border>
    </dxf>
    <dxf>
      <font>
        <b/>
        <i val="0"/>
        <color theme="1"/>
      </font>
      <fill>
        <patternFill patternType="solid">
          <fgColor rgb="FFFFC72C"/>
          <bgColor rgb="FFFFC72C"/>
        </patternFill>
      </fill>
      <border>
        <left/>
        <right/>
        <vertical/>
      </border>
    </dxf>
    <dxf>
      <font>
        <b/>
        <i val="0"/>
        <color theme="0"/>
      </font>
      <fill>
        <patternFill patternType="solid">
          <fgColor rgb="FFBD0017"/>
          <bgColor rgb="FFBD0017"/>
        </patternFill>
      </fill>
      <border>
        <left/>
        <right/>
        <vertical/>
      </border>
    </dxf>
    <dxf>
      <font>
        <color theme="1"/>
      </font>
      <fill>
        <patternFill patternType="solid">
          <fgColor theme="0" tint="-4.9989318521683403E-2"/>
          <bgColor theme="0" tint="-4.9989318521683403E-2"/>
        </patternFill>
      </fill>
      <border>
        <left style="thin">
          <color theme="0" tint="-0.14999847407452621"/>
        </left>
        <right style="thin">
          <color theme="0" tint="-0.14999847407452621"/>
        </right>
        <vertical style="thin">
          <color theme="0" tint="-0.14999847407452621"/>
        </vertic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chivo Condensed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CCCCCC"/>
        </left>
        <right/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chivo Condensed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chivo Condensed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chivo Condensed"/>
        <scheme val="none"/>
      </font>
      <numFmt numFmtId="165" formatCode="\$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chivo Condensed"/>
        <scheme val="none"/>
      </font>
      <numFmt numFmtId="165" formatCode="\$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chivo Condensed"/>
        <scheme val="none"/>
      </font>
      <numFmt numFmtId="165" formatCode="\$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chivo Condensed"/>
        <scheme val="none"/>
      </font>
      <numFmt numFmtId="165" formatCode="\$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chivo Condensed"/>
        <scheme val="none"/>
      </font>
      <numFmt numFmtId="165" formatCode="\$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chivo Condensed"/>
        <scheme val="none"/>
      </font>
      <numFmt numFmtId="165" formatCode="\$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chivo Condensed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chivo Condensed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chivo Condensed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chivo Condensed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chivo Condensed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chivo Condensed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chivo Condensed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chivo Condensed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chivo Condensed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chivo Condensed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chivo Condensed"/>
        <scheme val="none"/>
      </font>
      <numFmt numFmtId="164" formatCode="mm/dd/yyyy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chivo Condensed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border outline="0">
        <top style="thin">
          <color rgb="FFCCCCCC"/>
        </top>
      </border>
    </dxf>
    <dxf>
      <border outline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</border>
    </dxf>
    <dxf>
      <border outline="0">
        <bottom style="thin">
          <color rgb="FFCCCCCC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rgb="FFFFFFFF"/>
        <name val="Archivo Condensed"/>
        <scheme val="none"/>
      </font>
      <fill>
        <patternFill patternType="solid">
          <fgColor rgb="FFFF0000"/>
          <bgColor rgb="FFBD0017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CCCCCC"/>
        </left>
        <right style="thin">
          <color rgb="FFCCCCCC"/>
        </right>
        <top/>
        <bottom/>
      </border>
    </dxf>
    <dxf>
      <font>
        <b/>
        <i val="0"/>
        <color theme="0"/>
      </font>
      <fill>
        <patternFill>
          <bgColor rgb="FFBD0017"/>
        </patternFill>
      </fill>
    </dxf>
  </dxfs>
  <tableStyles count="3" defaultTableStyle="TableStyleMedium2" defaultPivotStyle="PivotStyleLight16">
    <tableStyle name="Estilo Dashboard" pivot="0" count="1" xr9:uid="{D87363C6-A3E8-48F8-A71E-99B3AAB4200D}">
      <tableStyleElement type="headerRow" dxfId="48"/>
    </tableStyle>
    <tableStyle name="PivotStyleDash" table="0" count="6" xr9:uid="{A5C68CE3-65A9-4C01-A9E9-28301B9DE666}">
      <tableStyleElement type="wholeTable" dxfId="22"/>
      <tableStyleElement type="headerRow" dxfId="21"/>
      <tableStyleElement type="totalRow" dxfId="20"/>
      <tableStyleElement type="firstColumnStripe" dxfId="19"/>
      <tableStyleElement type="pageFieldLabels" dxfId="18"/>
      <tableStyleElement type="pageFieldValues" dxfId="17"/>
    </tableStyle>
    <tableStyle name="SlicerStyleDash" pivot="0" table="0" count="10" xr9:uid="{1E9C3294-9E0C-4152-9594-8901BD22B237}">
      <tableStyleElement type="wholeTable" dxfId="3"/>
      <tableStyleElement type="headerRow" dxfId="2"/>
    </tableStyle>
  </tableStyles>
  <colors>
    <mruColors>
      <color rgb="FFFFC72C"/>
      <color rgb="FFBD0017"/>
      <color rgb="FFFFE28F"/>
      <color rgb="FFED1409"/>
      <color rgb="FFFFD765"/>
      <color rgb="FFC00000"/>
      <color rgb="FF808080"/>
      <color rgb="FFD00000"/>
    </mruColors>
  </color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4" tint="0.79998168889431442"/>
              <bgColor theme="4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b/>
            <i val="0"/>
            <sz val="10"/>
            <color rgb="FF000000"/>
            <name val="Archivo Condensed"/>
            <scheme val="none"/>
          </font>
          <fill>
            <patternFill patternType="solid">
              <fgColor rgb="FFFFD765"/>
              <bgColor rgb="FFFFD76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StyleDash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1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onnections" Target="connection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microsoft.com/office/2007/relationships/slicerCache" Target="slicerCaches/slicerCache3.xml"/><Relationship Id="rId4" Type="http://schemas.openxmlformats.org/officeDocument/2006/relationships/worksheet" Target="worksheets/sheet4.xml"/><Relationship Id="rId9" Type="http://schemas.microsoft.com/office/2007/relationships/slicerCache" Target="slicerCaches/slicerCache2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[dashboard-sales-final-ok.xlsx]Calculation!tbl_gross_margin</c:name>
    <c:fmtId val="6"/>
  </c:pivotSource>
  <c:chart>
    <c:autoTitleDeleted val="0"/>
    <c:pivotFmts>
      <c:pivotFmt>
        <c:idx val="0"/>
        <c:spPr>
          <a:solidFill>
            <a:srgbClr val="BD0017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rgbClr val="FFC72C"/>
            </a:solidFill>
            <a:round/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roundRec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"/>
        <c:spPr>
          <a:solidFill>
            <a:srgbClr val="BD0017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rgbClr val="FFC72C"/>
            </a:solidFill>
            <a:round/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roundRec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4"/>
        <c:spPr>
          <a:solidFill>
            <a:srgbClr val="BD0017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rgbClr val="FFC72C"/>
            </a:solidFill>
            <a:round/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/>
                  </a:solidFill>
                  <a:latin typeface="Archivo Condensed" pitchFamily="2" charset="0"/>
                  <a:ea typeface="+mn-ea"/>
                  <a:cs typeface="Archivo Condensed" pitchFamily="2" charset="0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roundRect">
                  <a:avLst/>
                </a:prstGeom>
                <a:noFill/>
                <a:ln>
                  <a:noFill/>
                </a:ln>
              </c15:spPr>
            </c:ext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Calculation!$S$6</c:f>
              <c:strCache>
                <c:ptCount val="1"/>
                <c:pt idx="0">
                  <c:v>Gross Revenue</c:v>
                </c:pt>
              </c:strCache>
            </c:strRef>
          </c:tx>
          <c:spPr>
            <a:solidFill>
              <a:srgbClr val="BD0017"/>
            </a:solidFill>
            <a:ln>
              <a:noFill/>
            </a:ln>
            <a:effectLst/>
          </c:spPr>
          <c:invertIfNegative val="0"/>
          <c:cat>
            <c:strRef>
              <c:f>Calculation!$R$7:$R$19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Calculation!$S$7:$S$19</c:f>
              <c:numCache>
                <c:formatCode>"$"#,##0.00_);\("$"#,##0.00\)</c:formatCode>
                <c:ptCount val="12"/>
                <c:pt idx="0">
                  <c:v>262.83</c:v>
                </c:pt>
                <c:pt idx="1">
                  <c:v>399.55</c:v>
                </c:pt>
                <c:pt idx="2">
                  <c:v>303.68000000000006</c:v>
                </c:pt>
                <c:pt idx="3">
                  <c:v>280.30999999999995</c:v>
                </c:pt>
                <c:pt idx="4">
                  <c:v>205.23</c:v>
                </c:pt>
                <c:pt idx="5">
                  <c:v>297.93</c:v>
                </c:pt>
                <c:pt idx="6">
                  <c:v>223.72000000000003</c:v>
                </c:pt>
                <c:pt idx="7">
                  <c:v>306.39999999999998</c:v>
                </c:pt>
                <c:pt idx="8">
                  <c:v>252.29999999999998</c:v>
                </c:pt>
                <c:pt idx="9">
                  <c:v>331.11000000000013</c:v>
                </c:pt>
                <c:pt idx="10">
                  <c:v>196.22</c:v>
                </c:pt>
                <c:pt idx="11">
                  <c:v>351.09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F6B-42C0-95B9-193E81B212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65168975"/>
        <c:axId val="465171855"/>
      </c:barChart>
      <c:lineChart>
        <c:grouping val="standard"/>
        <c:varyColors val="0"/>
        <c:ser>
          <c:idx val="1"/>
          <c:order val="1"/>
          <c:tx>
            <c:strRef>
              <c:f>Calculation!$T$6</c:f>
              <c:strCache>
                <c:ptCount val="1"/>
                <c:pt idx="0">
                  <c:v>Gross Profit Margin %</c:v>
                </c:pt>
              </c:strCache>
            </c:strRef>
          </c:tx>
          <c:spPr>
            <a:ln w="28575" cap="rnd">
              <a:solidFill>
                <a:srgbClr val="FFC72C"/>
              </a:solidFill>
              <a:round/>
            </a:ln>
            <a:effectLst/>
          </c:spPr>
          <c:marker>
            <c:symbol val="none"/>
          </c:marker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/>
                    </a:solidFill>
                    <a:latin typeface="Archivo Condensed" pitchFamily="2" charset="0"/>
                    <a:ea typeface="+mn-ea"/>
                    <a:cs typeface="Archivo Condensed" pitchFamily="2" charset="0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oundRec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strRef>
              <c:f>Calculation!$R$7:$R$19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Calculation!$T$7:$T$19</c:f>
              <c:numCache>
                <c:formatCode>0.0%</c:formatCode>
                <c:ptCount val="12"/>
                <c:pt idx="0">
                  <c:v>0.56764367588148978</c:v>
                </c:pt>
                <c:pt idx="1">
                  <c:v>0.5734444112778484</c:v>
                </c:pt>
                <c:pt idx="2">
                  <c:v>0.56449066447007146</c:v>
                </c:pt>
                <c:pt idx="3">
                  <c:v>0.55452628407892735</c:v>
                </c:pt>
                <c:pt idx="4">
                  <c:v>0.54497111008845944</c:v>
                </c:pt>
                <c:pt idx="5">
                  <c:v>0.5579138225255974</c:v>
                </c:pt>
                <c:pt idx="6">
                  <c:v>0.55283738674296612</c:v>
                </c:pt>
                <c:pt idx="7">
                  <c:v>0.54395812527979615</c:v>
                </c:pt>
                <c:pt idx="8">
                  <c:v>0.56242893839221808</c:v>
                </c:pt>
                <c:pt idx="9">
                  <c:v>0.53972938913576973</c:v>
                </c:pt>
                <c:pt idx="10">
                  <c:v>0.53446242898488583</c:v>
                </c:pt>
                <c:pt idx="11">
                  <c:v>0.55021847040989191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F6B-42C0-95B9-193E81B212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6087023"/>
        <c:axId val="106087983"/>
      </c:lineChart>
      <c:catAx>
        <c:axId val="4651689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>
                    <a:lumMod val="50000"/>
                  </a:schemeClr>
                </a:solidFill>
                <a:latin typeface="Archivo Condensed" pitchFamily="2" charset="0"/>
                <a:ea typeface="+mn-ea"/>
                <a:cs typeface="Archivo Condensed" pitchFamily="2" charset="0"/>
              </a:defRPr>
            </a:pPr>
            <a:endParaRPr lang="en-US"/>
          </a:p>
        </c:txPr>
        <c:crossAx val="465171855"/>
        <c:crosses val="autoZero"/>
        <c:auto val="1"/>
        <c:lblAlgn val="ctr"/>
        <c:lblOffset val="100"/>
        <c:noMultiLvlLbl val="0"/>
      </c:catAx>
      <c:valAx>
        <c:axId val="465171855"/>
        <c:scaling>
          <c:orientation val="minMax"/>
          <c:min val="0"/>
        </c:scaling>
        <c:delete val="0"/>
        <c:axPos val="l"/>
        <c:numFmt formatCode="&quot;$&quot;#,##0.00_);\(&quot;$&quot;#,##0.00\)" sourceLinked="1"/>
        <c:majorTickMark val="none"/>
        <c:minorTickMark val="none"/>
        <c:tickLblPos val="nextTo"/>
        <c:spPr>
          <a:noFill/>
          <a:ln>
            <a:solidFill>
              <a:sysClr val="windowText" lastClr="000000">
                <a:lumMod val="25000"/>
                <a:lumOff val="75000"/>
              </a:sys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bg1">
                    <a:lumMod val="75000"/>
                  </a:schemeClr>
                </a:solidFill>
                <a:latin typeface="Archivo Condensed" pitchFamily="2" charset="0"/>
                <a:ea typeface="+mn-ea"/>
                <a:cs typeface="Archivo Condensed" pitchFamily="2" charset="0"/>
              </a:defRPr>
            </a:pPr>
            <a:endParaRPr lang="en-US"/>
          </a:p>
        </c:txPr>
        <c:crossAx val="465168975"/>
        <c:crosses val="autoZero"/>
        <c:crossBetween val="between"/>
      </c:valAx>
      <c:valAx>
        <c:axId val="106087983"/>
        <c:scaling>
          <c:orientation val="minMax"/>
          <c:max val="0.65000000000000013"/>
          <c:min val="0.45"/>
        </c:scaling>
        <c:delete val="0"/>
        <c:axPos val="r"/>
        <c:numFmt formatCode="0.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087023"/>
        <c:crosses val="max"/>
        <c:crossBetween val="between"/>
        <c:majorUnit val="0.1"/>
      </c:valAx>
      <c:catAx>
        <c:axId val="106087023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06087983"/>
        <c:crosses val="autoZero"/>
        <c:auto val="1"/>
        <c:lblAlgn val="ctr"/>
        <c:lblOffset val="100"/>
        <c:noMultiLvlLbl val="0"/>
      </c:catAx>
      <c:spPr>
        <a:noFill/>
        <a:ln w="25400"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[dashboard-sales-final-ok.xlsx]Calculation!tbl_cascade</c:name>
    <c:fmtId val="6"/>
  </c:pivotSource>
  <c:chart>
    <c:autoTitleDeleted val="0"/>
    <c:pivotFmts>
      <c:pivotFmt>
        <c:idx val="0"/>
        <c:spPr>
          <a:solidFill>
            <a:schemeClr val="bg1">
              <a:lumMod val="75000"/>
              <a:alpha val="70000"/>
            </a:schemeClr>
          </a:solidFill>
          <a:ln>
            <a:noFill/>
          </a:ln>
          <a:effectLst/>
        </c:spPr>
        <c:marker>
          <c:symbol val="circle"/>
          <c:size val="6"/>
          <c:spPr>
            <a:gradFill>
              <a:gsLst>
                <a:gs pos="0">
                  <a:schemeClr val="accent1"/>
                </a:gs>
                <a:gs pos="46000">
                  <a:schemeClr val="accent1"/>
                </a:gs>
                <a:gs pos="100000">
                  <a:schemeClr val="accent1">
                    <a:lumMod val="20000"/>
                    <a:lumOff val="80000"/>
                    <a:alpha val="0"/>
                  </a:schemeClr>
                </a:gs>
              </a:gsLst>
              <a:path path="circle">
                <a:fillToRect l="50000" t="-80000" r="50000" b="180000"/>
              </a:path>
            </a:gradFill>
            <a:ln w="9525" cap="flat" cmpd="sng" algn="ctr">
              <a:solidFill>
                <a:schemeClr val="accent1">
                  <a:shade val="95000"/>
                </a:schemeClr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ED1409">
              <a:alpha val="70000"/>
            </a:srgbClr>
          </a:solidFill>
          <a:ln>
            <a:noFill/>
          </a:ln>
          <a:effectLst/>
        </c:spPr>
        <c:marker>
          <c:symbol val="circle"/>
          <c:size val="6"/>
          <c:spPr>
            <a:gradFill>
              <a:gsLst>
                <a:gs pos="0">
                  <a:schemeClr val="accent2"/>
                </a:gs>
                <a:gs pos="46000">
                  <a:schemeClr val="accent2"/>
                </a:gs>
                <a:gs pos="100000">
                  <a:schemeClr val="accent2">
                    <a:lumMod val="20000"/>
                    <a:lumOff val="80000"/>
                    <a:alpha val="0"/>
                  </a:schemeClr>
                </a:gs>
              </a:gsLst>
              <a:path path="circle">
                <a:fillToRect l="50000" t="-80000" r="50000" b="180000"/>
              </a:path>
            </a:gradFill>
            <a:ln w="9525" cap="flat" cmpd="sng" algn="ctr">
              <a:solidFill>
                <a:schemeClr val="accent2">
                  <a:shade val="95000"/>
                </a:schemeClr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FFC72C">
              <a:alpha val="70000"/>
            </a:srgbClr>
          </a:solidFill>
          <a:ln>
            <a:noFill/>
          </a:ln>
          <a:effectLst/>
        </c:spPr>
        <c:marker>
          <c:symbol val="circle"/>
          <c:size val="6"/>
          <c:spPr>
            <a:gradFill>
              <a:gsLst>
                <a:gs pos="0">
                  <a:schemeClr val="accent3"/>
                </a:gs>
                <a:gs pos="46000">
                  <a:schemeClr val="accent3"/>
                </a:gs>
                <a:gs pos="100000">
                  <a:schemeClr val="accent3">
                    <a:lumMod val="20000"/>
                    <a:lumOff val="80000"/>
                    <a:alpha val="0"/>
                  </a:schemeClr>
                </a:gs>
              </a:gsLst>
              <a:path path="circle">
                <a:fillToRect l="50000" t="-80000" r="50000" b="180000"/>
              </a:path>
            </a:gradFill>
            <a:ln w="9525" cap="flat" cmpd="sng" algn="ctr">
              <a:solidFill>
                <a:schemeClr val="accent3">
                  <a:shade val="95000"/>
                </a:schemeClr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bg1">
              <a:lumMod val="85000"/>
              <a:alpha val="70000"/>
            </a:schemeClr>
          </a:solidFill>
          <a:ln>
            <a:noFill/>
          </a:ln>
          <a:effectLst/>
        </c:spPr>
        <c:marker>
          <c:symbol val="circle"/>
          <c:size val="6"/>
          <c:spPr>
            <a:gradFill>
              <a:gsLst>
                <a:gs pos="0">
                  <a:schemeClr val="accent4"/>
                </a:gs>
                <a:gs pos="46000">
                  <a:schemeClr val="accent4"/>
                </a:gs>
                <a:gs pos="100000">
                  <a:schemeClr val="accent4">
                    <a:lumMod val="20000"/>
                    <a:lumOff val="80000"/>
                    <a:alpha val="0"/>
                  </a:schemeClr>
                </a:gs>
              </a:gsLst>
              <a:path path="circle">
                <a:fillToRect l="50000" t="-80000" r="50000" b="180000"/>
              </a:path>
            </a:gradFill>
            <a:ln w="9525" cap="flat" cmpd="sng" algn="ctr">
              <a:solidFill>
                <a:schemeClr val="accent4">
                  <a:shade val="95000"/>
                </a:schemeClr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C00000">
              <a:alpha val="70000"/>
            </a:srgbClr>
          </a:solidFill>
          <a:ln>
            <a:noFill/>
          </a:ln>
          <a:effectLst/>
        </c:spPr>
        <c:marker>
          <c:symbol val="circle"/>
          <c:size val="6"/>
          <c:spPr>
            <a:gradFill>
              <a:gsLst>
                <a:gs pos="0">
                  <a:schemeClr val="accent5"/>
                </a:gs>
                <a:gs pos="46000">
                  <a:schemeClr val="accent5"/>
                </a:gs>
                <a:gs pos="100000">
                  <a:schemeClr val="accent5">
                    <a:lumMod val="20000"/>
                    <a:lumOff val="80000"/>
                    <a:alpha val="0"/>
                  </a:schemeClr>
                </a:gs>
              </a:gsLst>
              <a:path path="circle">
                <a:fillToRect l="50000" t="-80000" r="50000" b="180000"/>
              </a:path>
            </a:gradFill>
            <a:ln w="9525" cap="flat" cmpd="sng" algn="ctr">
              <a:solidFill>
                <a:schemeClr val="accent5">
                  <a:shade val="95000"/>
                </a:schemeClr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bg1">
              <a:lumMod val="75000"/>
              <a:alpha val="7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ED1409">
              <a:alpha val="70000"/>
            </a:srgb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FFC72C">
              <a:alpha val="70000"/>
            </a:srgb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bg1">
              <a:lumMod val="85000"/>
              <a:alpha val="7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rgbClr val="C00000">
              <a:alpha val="70000"/>
            </a:srgb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bg1">
              <a:lumMod val="75000"/>
              <a:alpha val="7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Archivo Condensed" pitchFamily="2" charset="0"/>
                  <a:ea typeface="+mn-ea"/>
                  <a:cs typeface="Archivo Condensed" pitchFamily="2" charset="0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rgbClr val="ED1409">
              <a:alpha val="70000"/>
            </a:srgb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Archivo Condensed" pitchFamily="2" charset="0"/>
                  <a:ea typeface="+mn-ea"/>
                  <a:cs typeface="Archivo Condensed" pitchFamily="2" charset="0"/>
                </a:defRPr>
              </a:pPr>
              <a:endParaRPr lang="en-US"/>
            </a:p>
          </c:txPr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rgbClr val="FFC72C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Archivo Condensed" pitchFamily="2" charset="0"/>
                  <a:ea typeface="+mn-ea"/>
                  <a:cs typeface="Archivo Condensed" pitchFamily="2" charset="0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bg1">
              <a:lumMod val="85000"/>
              <a:alpha val="7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Archivo Condensed" pitchFamily="2" charset="0"/>
                  <a:ea typeface="+mn-ea"/>
                  <a:cs typeface="Archivo Condensed" pitchFamily="2" charset="0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rgbClr val="C00000">
              <a:alpha val="70000"/>
            </a:srgb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Archivo Condensed" pitchFamily="2" charset="0"/>
                  <a:ea typeface="+mn-ea"/>
                  <a:cs typeface="Archivo Condensed" pitchFamily="2" charset="0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>
              <a:alpha val="7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percentStacked"/>
        <c:varyColors val="0"/>
        <c:ser>
          <c:idx val="0"/>
          <c:order val="0"/>
          <c:tx>
            <c:strRef>
              <c:f>Calculation!$X$6</c:f>
              <c:strCache>
                <c:ptCount val="1"/>
                <c:pt idx="0">
                  <c:v>Gross Revenue</c:v>
                </c:pt>
              </c:strCache>
            </c:strRef>
          </c:tx>
          <c:spPr>
            <a:solidFill>
              <a:schemeClr val="bg1">
                <a:lumMod val="75000"/>
                <a:alpha val="7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chivo Condensed" pitchFamily="2" charset="0"/>
                    <a:ea typeface="+mn-ea"/>
                    <a:cs typeface="Archivo Condensed" pitchFamily="2" charset="0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Calculation!$W$7:$W$19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Calculation!$X$7:$X$19</c:f>
              <c:numCache>
                <c:formatCode>"$"#,##0.00_);\("$"#,##0.00\)</c:formatCode>
                <c:ptCount val="12"/>
                <c:pt idx="0">
                  <c:v>262.83</c:v>
                </c:pt>
                <c:pt idx="1">
                  <c:v>399.55</c:v>
                </c:pt>
                <c:pt idx="2">
                  <c:v>303.68000000000006</c:v>
                </c:pt>
                <c:pt idx="3">
                  <c:v>280.30999999999995</c:v>
                </c:pt>
                <c:pt idx="4">
                  <c:v>205.23</c:v>
                </c:pt>
                <c:pt idx="5">
                  <c:v>297.93</c:v>
                </c:pt>
                <c:pt idx="6">
                  <c:v>223.72000000000003</c:v>
                </c:pt>
                <c:pt idx="7">
                  <c:v>306.39999999999998</c:v>
                </c:pt>
                <c:pt idx="8">
                  <c:v>252.29999999999998</c:v>
                </c:pt>
                <c:pt idx="9">
                  <c:v>331.11000000000013</c:v>
                </c:pt>
                <c:pt idx="10">
                  <c:v>196.22</c:v>
                </c:pt>
                <c:pt idx="11">
                  <c:v>351.09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C02-4F49-A756-C8A932EC08CC}"/>
            </c:ext>
          </c:extLst>
        </c:ser>
        <c:ser>
          <c:idx val="1"/>
          <c:order val="1"/>
          <c:tx>
            <c:strRef>
              <c:f>Calculation!$Y$6</c:f>
              <c:strCache>
                <c:ptCount val="1"/>
                <c:pt idx="0">
                  <c:v>Discount Amount</c:v>
                </c:pt>
              </c:strCache>
            </c:strRef>
          </c:tx>
          <c:spPr>
            <a:solidFill>
              <a:srgbClr val="ED1409">
                <a:alpha val="70000"/>
              </a:srgb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Archivo Condensed" pitchFamily="2" charset="0"/>
                    <a:ea typeface="+mn-ea"/>
                    <a:cs typeface="Archivo Condensed" pitchFamily="2" charset="0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Calculation!$W$7:$W$19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Calculation!$Y$7:$Y$19</c:f>
              <c:numCache>
                <c:formatCode>"$"#,##0.00_);\("$"#,##0.00\)</c:formatCode>
                <c:ptCount val="12"/>
                <c:pt idx="0">
                  <c:v>10.700000000000001</c:v>
                </c:pt>
                <c:pt idx="1">
                  <c:v>31.04</c:v>
                </c:pt>
                <c:pt idx="2">
                  <c:v>12.319999999999997</c:v>
                </c:pt>
                <c:pt idx="3">
                  <c:v>14.749999999999998</c:v>
                </c:pt>
                <c:pt idx="4">
                  <c:v>9.66</c:v>
                </c:pt>
                <c:pt idx="5">
                  <c:v>16.649999999999999</c:v>
                </c:pt>
                <c:pt idx="6">
                  <c:v>14.02</c:v>
                </c:pt>
                <c:pt idx="7">
                  <c:v>16.010000000000005</c:v>
                </c:pt>
                <c:pt idx="8">
                  <c:v>14.83</c:v>
                </c:pt>
                <c:pt idx="9">
                  <c:v>29.569999999999997</c:v>
                </c:pt>
                <c:pt idx="10">
                  <c:v>9.64</c:v>
                </c:pt>
                <c:pt idx="11">
                  <c:v>14.66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C02-4F49-A756-C8A932EC08CC}"/>
            </c:ext>
          </c:extLst>
        </c:ser>
        <c:ser>
          <c:idx val="2"/>
          <c:order val="2"/>
          <c:tx>
            <c:strRef>
              <c:f>Calculation!$Z$6</c:f>
              <c:strCache>
                <c:ptCount val="1"/>
                <c:pt idx="0">
                  <c:v>Net Revenue</c:v>
                </c:pt>
              </c:strCache>
            </c:strRef>
          </c:tx>
          <c:spPr>
            <a:solidFill>
              <a:srgbClr val="FFC72C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chivo Condensed" pitchFamily="2" charset="0"/>
                    <a:ea typeface="+mn-ea"/>
                    <a:cs typeface="Archivo Condensed" pitchFamily="2" charset="0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Calculation!$W$7:$W$19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Calculation!$Z$7:$Z$19</c:f>
              <c:numCache>
                <c:formatCode>"$"#,##0.00_);\("$"#,##0.00\)</c:formatCode>
                <c:ptCount val="12"/>
                <c:pt idx="0">
                  <c:v>252.13000000000002</c:v>
                </c:pt>
                <c:pt idx="1">
                  <c:v>368.5100000000001</c:v>
                </c:pt>
                <c:pt idx="2">
                  <c:v>291.35999999999996</c:v>
                </c:pt>
                <c:pt idx="3">
                  <c:v>265.56000000000006</c:v>
                </c:pt>
                <c:pt idx="4">
                  <c:v>195.56999999999996</c:v>
                </c:pt>
                <c:pt idx="5">
                  <c:v>281.27999999999997</c:v>
                </c:pt>
                <c:pt idx="6">
                  <c:v>209.70000000000002</c:v>
                </c:pt>
                <c:pt idx="7">
                  <c:v>290.39</c:v>
                </c:pt>
                <c:pt idx="8">
                  <c:v>237.46999999999994</c:v>
                </c:pt>
                <c:pt idx="9">
                  <c:v>301.54000000000002</c:v>
                </c:pt>
                <c:pt idx="10">
                  <c:v>186.58</c:v>
                </c:pt>
                <c:pt idx="11">
                  <c:v>336.43000000000006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C02-4F49-A756-C8A932EC08CC}"/>
            </c:ext>
          </c:extLst>
        </c:ser>
        <c:ser>
          <c:idx val="3"/>
          <c:order val="3"/>
          <c:tx>
            <c:strRef>
              <c:f>Calculation!$AA$6</c:f>
              <c:strCache>
                <c:ptCount val="1"/>
                <c:pt idx="0">
                  <c:v>COGS</c:v>
                </c:pt>
              </c:strCache>
            </c:strRef>
          </c:tx>
          <c:spPr>
            <a:solidFill>
              <a:schemeClr val="bg1">
                <a:lumMod val="85000"/>
                <a:alpha val="7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chivo Condensed" pitchFamily="2" charset="0"/>
                    <a:ea typeface="+mn-ea"/>
                    <a:cs typeface="Archivo Condensed" pitchFamily="2" charset="0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Calculation!$W$7:$W$19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Calculation!$AA$7:$AA$19</c:f>
              <c:numCache>
                <c:formatCode>"$"#,##0.00_);\("$"#,##0.00\)</c:formatCode>
                <c:ptCount val="12"/>
                <c:pt idx="0">
                  <c:v>109.00999999999999</c:v>
                </c:pt>
                <c:pt idx="1">
                  <c:v>157.19</c:v>
                </c:pt>
                <c:pt idx="2">
                  <c:v>126.89000000000004</c:v>
                </c:pt>
                <c:pt idx="3">
                  <c:v>118.29999999999998</c:v>
                </c:pt>
                <c:pt idx="4">
                  <c:v>88.989999999999981</c:v>
                </c:pt>
                <c:pt idx="5">
                  <c:v>124.35</c:v>
                </c:pt>
                <c:pt idx="6">
                  <c:v>93.77</c:v>
                </c:pt>
                <c:pt idx="7">
                  <c:v>132.43</c:v>
                </c:pt>
                <c:pt idx="8">
                  <c:v>103.91</c:v>
                </c:pt>
                <c:pt idx="9">
                  <c:v>138.78999999999996</c:v>
                </c:pt>
                <c:pt idx="10">
                  <c:v>86.86</c:v>
                </c:pt>
                <c:pt idx="11">
                  <c:v>151.32000000000002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C02-4F49-A756-C8A932EC08CC}"/>
            </c:ext>
          </c:extLst>
        </c:ser>
        <c:ser>
          <c:idx val="4"/>
          <c:order val="4"/>
          <c:tx>
            <c:strRef>
              <c:f>Calculation!$AB$6</c:f>
              <c:strCache>
                <c:ptCount val="1"/>
                <c:pt idx="0">
                  <c:v>Gross Profit</c:v>
                </c:pt>
              </c:strCache>
            </c:strRef>
          </c:tx>
          <c:spPr>
            <a:solidFill>
              <a:srgbClr val="C00000">
                <a:alpha val="70000"/>
              </a:srgb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bg1"/>
                    </a:solidFill>
                    <a:latin typeface="Archivo Condensed" pitchFamily="2" charset="0"/>
                    <a:ea typeface="+mn-ea"/>
                    <a:cs typeface="Archivo Condensed" pitchFamily="2" charset="0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Calculation!$W$7:$W$19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Calculation!$AB$7:$AB$19</c:f>
              <c:numCache>
                <c:formatCode>"$"#,##0.00_);\("$"#,##0.00\)</c:formatCode>
                <c:ptCount val="12"/>
                <c:pt idx="0">
                  <c:v>143.12000000000003</c:v>
                </c:pt>
                <c:pt idx="1">
                  <c:v>211.32</c:v>
                </c:pt>
                <c:pt idx="2">
                  <c:v>164.47</c:v>
                </c:pt>
                <c:pt idx="3">
                  <c:v>147.26</c:v>
                </c:pt>
                <c:pt idx="4">
                  <c:v>106.57999999999998</c:v>
                </c:pt>
                <c:pt idx="5">
                  <c:v>156.93000000000004</c:v>
                </c:pt>
                <c:pt idx="6">
                  <c:v>115.93</c:v>
                </c:pt>
                <c:pt idx="7">
                  <c:v>157.96</c:v>
                </c:pt>
                <c:pt idx="8">
                  <c:v>133.56</c:v>
                </c:pt>
                <c:pt idx="9">
                  <c:v>162.75</c:v>
                </c:pt>
                <c:pt idx="10">
                  <c:v>99.720000000000013</c:v>
                </c:pt>
                <c:pt idx="11">
                  <c:v>185.10999999999999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C02-4F49-A756-C8A932EC08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"/>
        <c:overlap val="100"/>
        <c:axId val="110027807"/>
        <c:axId val="110029247"/>
      </c:barChart>
      <c:catAx>
        <c:axId val="110027807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  <a:headEnd type="none" w="sm" len="sm"/>
            <a:tailEnd type="none" w="sm" len="sm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bg1">
                    <a:lumMod val="50000"/>
                  </a:schemeClr>
                </a:solidFill>
                <a:latin typeface="Archivo Condensed" pitchFamily="2" charset="0"/>
                <a:ea typeface="+mn-ea"/>
                <a:cs typeface="Archivo Condensed" pitchFamily="2" charset="0"/>
              </a:defRPr>
            </a:pPr>
            <a:endParaRPr lang="en-US"/>
          </a:p>
        </c:txPr>
        <c:crossAx val="110029247"/>
        <c:crosses val="autoZero"/>
        <c:auto val="1"/>
        <c:lblAlgn val="ctr"/>
        <c:lblOffset val="100"/>
        <c:noMultiLvlLbl val="0"/>
      </c:catAx>
      <c:valAx>
        <c:axId val="110029247"/>
        <c:scaling>
          <c:orientation val="minMax"/>
        </c:scaling>
        <c:delete val="1"/>
        <c:axPos val="t"/>
        <c:numFmt formatCode="0%" sourceLinked="1"/>
        <c:majorTickMark val="none"/>
        <c:minorTickMark val="none"/>
        <c:tickLblPos val="nextTo"/>
        <c:crossAx val="1100278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[dashboard-sales-final-ok.xlsx]Calculation!tbl_shift</c:name>
    <c:fmtId val="3"/>
  </c:pivotSource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rgbClr val="BD0017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rgbClr val="FFC72C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Archivo Condensed" pitchFamily="2" charset="0"/>
                  <a:ea typeface="+mn-ea"/>
                  <a:cs typeface="Archivo Condensed" pitchFamily="2" charset="0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FFC72C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rgbClr val="BD0017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rgbClr val="BD0017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rgbClr val="BD0017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0.21766185476815397"/>
          <c:y val="7.1895424836601302E-2"/>
          <c:w val="0.69553258967629039"/>
          <c:h val="0.85620915032679734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Calculation!$AS$6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BD0017"/>
            </a:solidFill>
            <a:ln w="19050">
              <a:solidFill>
                <a:schemeClr val="lt1"/>
              </a:solidFill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FFC72C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EDCC-4125-9494-51642EDAF2D4}"/>
              </c:ext>
            </c:extLst>
          </c:dPt>
          <c:dPt>
            <c:idx val="1"/>
            <c:invertIfNegative val="0"/>
            <c:bubble3D val="0"/>
            <c:spPr>
              <a:solidFill>
                <a:srgbClr val="BD0017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EDCC-4125-9494-51642EDAF2D4}"/>
              </c:ext>
            </c:extLst>
          </c:dPt>
          <c:dPt>
            <c:idx val="2"/>
            <c:invertIfNegative val="0"/>
            <c:bubble3D val="0"/>
            <c:spPr>
              <a:solidFill>
                <a:srgbClr val="BD0017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EDCC-4125-9494-51642EDAF2D4}"/>
              </c:ext>
            </c:extLst>
          </c:dPt>
          <c:dPt>
            <c:idx val="3"/>
            <c:invertIfNegative val="0"/>
            <c:bubble3D val="0"/>
            <c:spPr>
              <a:solidFill>
                <a:srgbClr val="BD0017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EDCC-4125-9494-51642EDAF2D4}"/>
              </c:ext>
            </c:extLst>
          </c:dPt>
          <c:dLbls>
            <c:spPr>
              <a:solidFill>
                <a:srgbClr val="FFC72C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chivo Condensed" pitchFamily="2" charset="0"/>
                    <a:ea typeface="+mn-ea"/>
                    <a:cs typeface="Archivo Condensed" pitchFamily="2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Calculation!$AR$7:$AR$11</c:f>
              <c:strCache>
                <c:ptCount val="4"/>
                <c:pt idx="0">
                  <c:v>Afternoon</c:v>
                </c:pt>
                <c:pt idx="1">
                  <c:v>Overnight</c:v>
                </c:pt>
                <c:pt idx="2">
                  <c:v>Morning</c:v>
                </c:pt>
                <c:pt idx="3">
                  <c:v>Evening</c:v>
                </c:pt>
              </c:strCache>
            </c:strRef>
          </c:cat>
          <c:val>
            <c:numRef>
              <c:f>Calculation!$AS$7:$AS$11</c:f>
              <c:numCache>
                <c:formatCode>"$"#,##0.00_);\("$"#,##0.00\)</c:formatCode>
                <c:ptCount val="4"/>
                <c:pt idx="0">
                  <c:v>522.34999999999991</c:v>
                </c:pt>
                <c:pt idx="1">
                  <c:v>466.99999999999989</c:v>
                </c:pt>
                <c:pt idx="2">
                  <c:v>407.37000000000012</c:v>
                </c:pt>
                <c:pt idx="3">
                  <c:v>387.98999999999978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EDCC-4125-9494-51642EDAF2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"/>
        <c:axId val="720083695"/>
        <c:axId val="720076975"/>
      </c:barChart>
      <c:valAx>
        <c:axId val="720076975"/>
        <c:scaling>
          <c:orientation val="minMax"/>
        </c:scaling>
        <c:delete val="1"/>
        <c:axPos val="b"/>
        <c:numFmt formatCode="&quot;$&quot;#,##0.00_);\(&quot;$&quot;#,##0.00\)" sourceLinked="1"/>
        <c:majorTickMark val="out"/>
        <c:minorTickMark val="none"/>
        <c:tickLblPos val="nextTo"/>
        <c:crossAx val="720083695"/>
        <c:crossBetween val="between"/>
      </c:valAx>
      <c:catAx>
        <c:axId val="720083695"/>
        <c:scaling>
          <c:orientation val="maxMin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0076975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[dashboard-sales-final-ok.xlsx]Calculation!tbl_channels</c:name>
    <c:fmtId val="6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</c:pivotFmt>
      <c:pivotFmt>
        <c:idx val="8"/>
        <c:spPr>
          <a:solidFill>
            <a:srgbClr val="BD0017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rgbClr val="FFC72C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Archivo Condensed" pitchFamily="2" charset="0"/>
                  <a:ea typeface="+mn-ea"/>
                  <a:cs typeface="Archivo Condensed" pitchFamily="2" charset="0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rgbClr val="FFC72C"/>
          </a:solidFill>
          <a:ln>
            <a:noFill/>
          </a:ln>
          <a:effectLst/>
        </c:spPr>
      </c:pivotFmt>
      <c:pivotFmt>
        <c:idx val="10"/>
        <c:spPr>
          <a:solidFill>
            <a:srgbClr val="BD0017"/>
          </a:solidFill>
          <a:ln>
            <a:noFill/>
          </a:ln>
          <a:effectLst/>
        </c:spP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t" anchorCtr="0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dLbl>
      </c:pivotFmt>
      <c:pivotFmt>
        <c:idx val="11"/>
        <c:spPr>
          <a:solidFill>
            <a:srgbClr val="BD0017"/>
          </a:solidFill>
          <a:ln>
            <a:noFill/>
          </a:ln>
          <a:effectLst/>
        </c:spPr>
      </c:pivotFmt>
      <c:pivotFmt>
        <c:idx val="12"/>
        <c:spPr>
          <a:solidFill>
            <a:srgbClr val="BD0017"/>
          </a:solidFill>
          <a:ln>
            <a:noFill/>
          </a:ln>
          <a:effectLst/>
        </c:spPr>
      </c:pivotFmt>
      <c:pivotFmt>
        <c:idx val="13"/>
        <c:spPr>
          <a:solidFill>
            <a:srgbClr val="BD0017"/>
          </a:solidFill>
          <a:ln>
            <a:noFill/>
          </a:ln>
          <a:effectLst/>
        </c:spPr>
      </c:pivotFmt>
      <c:pivotFmt>
        <c:idx val="14"/>
        <c:spPr>
          <a:solidFill>
            <a:srgbClr val="BD0017"/>
          </a:solidFill>
          <a:ln>
            <a:noFill/>
          </a:ln>
          <a:effectLst/>
        </c:spP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Calculation!$AW$6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BD0017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FFC72C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2AEC-4DD9-89EF-55702FFE6236}"/>
              </c:ext>
            </c:extLst>
          </c:dPt>
          <c:dPt>
            <c:idx val="1"/>
            <c:invertIfNegative val="0"/>
            <c:bubble3D val="0"/>
            <c:spPr>
              <a:solidFill>
                <a:srgbClr val="BD0017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2AEC-4DD9-89EF-55702FFE6236}"/>
              </c:ext>
            </c:extLst>
          </c:dPt>
          <c:dPt>
            <c:idx val="2"/>
            <c:invertIfNegative val="0"/>
            <c:bubble3D val="0"/>
            <c:spPr>
              <a:solidFill>
                <a:srgbClr val="BD0017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2AEC-4DD9-89EF-55702FFE6236}"/>
              </c:ext>
            </c:extLst>
          </c:dPt>
          <c:dPt>
            <c:idx val="3"/>
            <c:invertIfNegative val="0"/>
            <c:bubble3D val="0"/>
            <c:spPr>
              <a:solidFill>
                <a:srgbClr val="BD0017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2AEC-4DD9-89EF-55702FFE6236}"/>
              </c:ext>
            </c:extLst>
          </c:dPt>
          <c:dPt>
            <c:idx val="4"/>
            <c:invertIfNegative val="0"/>
            <c:bubble3D val="0"/>
            <c:spPr>
              <a:solidFill>
                <a:srgbClr val="BD0017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2AEC-4DD9-89EF-55702FFE6236}"/>
              </c:ext>
            </c:extLst>
          </c:dPt>
          <c:dPt>
            <c:idx val="5"/>
            <c:invertIfNegative val="0"/>
            <c:bubble3D val="0"/>
            <c:spPr>
              <a:solidFill>
                <a:srgbClr val="BD0017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2AEC-4DD9-89EF-55702FFE6236}"/>
              </c:ext>
            </c:extLst>
          </c:dPt>
          <c:dLbls>
            <c:spPr>
              <a:solidFill>
                <a:srgbClr val="FFC72C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Archivo Condensed" pitchFamily="2" charset="0"/>
                    <a:ea typeface="+mn-ea"/>
                    <a:cs typeface="Archivo Condensed" pitchFamily="2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Calculation!$AV$7:$AV$13</c:f>
              <c:strCache>
                <c:ptCount val="6"/>
                <c:pt idx="0">
                  <c:v>Uber Eats</c:v>
                </c:pt>
                <c:pt idx="1">
                  <c:v>Drive-Thru</c:v>
                </c:pt>
                <c:pt idx="2">
                  <c:v>DoorDash</c:v>
                </c:pt>
                <c:pt idx="3">
                  <c:v>Self-Service Kiosk</c:v>
                </c:pt>
                <c:pt idx="4">
                  <c:v>McDonald's App</c:v>
                </c:pt>
                <c:pt idx="5">
                  <c:v>Counter</c:v>
                </c:pt>
              </c:strCache>
            </c:strRef>
          </c:cat>
          <c:val>
            <c:numRef>
              <c:f>Calculation!$AW$7:$AW$13</c:f>
              <c:numCache>
                <c:formatCode>"$"#,##0.00_);\("$"#,##0.00\)</c:formatCode>
                <c:ptCount val="6"/>
                <c:pt idx="0">
                  <c:v>414.28000000000014</c:v>
                </c:pt>
                <c:pt idx="1">
                  <c:v>327.85999999999996</c:v>
                </c:pt>
                <c:pt idx="2">
                  <c:v>319.87999999999994</c:v>
                </c:pt>
                <c:pt idx="3">
                  <c:v>251.52999999999994</c:v>
                </c:pt>
                <c:pt idx="4">
                  <c:v>235.67000000000004</c:v>
                </c:pt>
                <c:pt idx="5">
                  <c:v>235.48999999999998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2AEC-4DD9-89EF-55702FFE62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"/>
        <c:axId val="210799279"/>
        <c:axId val="210798799"/>
      </c:barChart>
      <c:valAx>
        <c:axId val="210798799"/>
        <c:scaling>
          <c:orientation val="minMax"/>
        </c:scaling>
        <c:delete val="1"/>
        <c:axPos val="b"/>
        <c:numFmt formatCode="&quot;$&quot;#,##0.00_);\(&quot;$&quot;#,##0.00\)" sourceLinked="1"/>
        <c:majorTickMark val="out"/>
        <c:minorTickMark val="none"/>
        <c:tickLblPos val="nextTo"/>
        <c:crossAx val="210799279"/>
        <c:crossBetween val="between"/>
      </c:valAx>
      <c:catAx>
        <c:axId val="210799279"/>
        <c:scaling>
          <c:orientation val="maxMin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bg1">
                    <a:lumMod val="50000"/>
                  </a:schemeClr>
                </a:solidFill>
                <a:latin typeface="Archivo Condensed" pitchFamily="2" charset="0"/>
                <a:ea typeface="+mn-ea"/>
                <a:cs typeface="Archivo Condensed" pitchFamily="2" charset="0"/>
              </a:defRPr>
            </a:pPr>
            <a:endParaRPr lang="en-US"/>
          </a:p>
        </c:txPr>
        <c:crossAx val="210798799"/>
        <c:auto val="1"/>
        <c:lblAlgn val="ctr"/>
        <c:lblOffset val="100"/>
        <c:noMultiLvlLbl val="0"/>
      </c:catAx>
      <c:spPr>
        <a:noFill/>
        <a:ln w="25400"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[dashboard-sales-final-ok.xlsx]Calculation!tbl_review</c:name>
    <c:fmtId val="4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BD0017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rgbClr val="FFC72C"/>
            </a:solidFill>
            <a:ln>
              <a:noFill/>
            </a:ln>
            <a:effectLst/>
          </c:spPr>
          <c:txPr>
            <a:bodyPr rot="0" spcFirstLastPara="1" vertOverflow="clip" horzOverflow="clip" vert="horz" wrap="non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Archivo Condensed" pitchFamily="2" charset="0"/>
                  <a:ea typeface="+mn-ea"/>
                  <a:cs typeface="Archivo Condensed" pitchFamily="2" charset="0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rect">
                  <a:avLst/>
                </a:prstGeom>
                <a:noFill/>
                <a:ln>
                  <a:noFill/>
                </a:ln>
              </c15:spPr>
            </c:ext>
          </c:extLst>
        </c:dLbl>
      </c:pivotFmt>
    </c:pivotFmts>
    <c:plotArea>
      <c:layout>
        <c:manualLayout>
          <c:layoutTarget val="inner"/>
          <c:xMode val="edge"/>
          <c:yMode val="edge"/>
          <c:x val="4.6179680940386228E-2"/>
          <c:y val="7.6708549791096869E-2"/>
          <c:w val="0.94542401343408899"/>
          <c:h val="0.84658290041780626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Calculation!$BA$6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BD0017"/>
            </a:solidFill>
            <a:ln>
              <a:noFill/>
            </a:ln>
            <a:effectLst/>
          </c:spPr>
          <c:invertIfNegative val="0"/>
          <c:dLbls>
            <c:spPr>
              <a:solidFill>
                <a:srgbClr val="FFC72C"/>
              </a:solidFill>
              <a:ln>
                <a:noFill/>
              </a:ln>
              <a:effectLst/>
            </c:spPr>
            <c:txPr>
              <a:bodyPr rot="0" spcFirstLastPara="1" vertOverflow="clip" horzOverflow="clip" vert="horz" wrap="non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Archivo Condensed" pitchFamily="2" charset="0"/>
                    <a:ea typeface="+mn-ea"/>
                    <a:cs typeface="Archivo Condensed" pitchFamily="2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strRef>
              <c:f>Calculation!$AZ$7:$AZ$12</c:f>
              <c:strCache>
                <c:ptCount val="5"/>
                <c:pt idx="0">
                  <c:v>5</c:v>
                </c:pt>
                <c:pt idx="1">
                  <c:v>4</c:v>
                </c:pt>
                <c:pt idx="2">
                  <c:v>3</c:v>
                </c:pt>
                <c:pt idx="3">
                  <c:v>2</c:v>
                </c:pt>
                <c:pt idx="4">
                  <c:v>1</c:v>
                </c:pt>
              </c:strCache>
            </c:strRef>
          </c:cat>
          <c:val>
            <c:numRef>
              <c:f>Calculation!$BA$7:$BA$12</c:f>
              <c:numCache>
                <c:formatCode>General</c:formatCode>
                <c:ptCount val="5"/>
                <c:pt idx="0">
                  <c:v>126</c:v>
                </c:pt>
                <c:pt idx="1">
                  <c:v>144</c:v>
                </c:pt>
                <c:pt idx="2">
                  <c:v>57</c:v>
                </c:pt>
                <c:pt idx="3">
                  <c:v>14</c:v>
                </c:pt>
                <c:pt idx="4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94B-4413-84E8-88543C08F9D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"/>
        <c:axId val="552420639"/>
        <c:axId val="552430719"/>
      </c:barChart>
      <c:catAx>
        <c:axId val="552420639"/>
        <c:scaling>
          <c:orientation val="maxMin"/>
        </c:scaling>
        <c:delete val="1"/>
        <c:axPos val="l"/>
        <c:numFmt formatCode="General" sourceLinked="1"/>
        <c:majorTickMark val="none"/>
        <c:minorTickMark val="none"/>
        <c:tickLblPos val="nextTo"/>
        <c:crossAx val="552430719"/>
        <c:crosses val="autoZero"/>
        <c:auto val="1"/>
        <c:lblAlgn val="ctr"/>
        <c:lblOffset val="100"/>
        <c:noMultiLvlLbl val="0"/>
      </c:catAx>
      <c:valAx>
        <c:axId val="552430719"/>
        <c:scaling>
          <c:orientation val="minMax"/>
        </c:scaling>
        <c:delete val="1"/>
        <c:axPos val="t"/>
        <c:numFmt formatCode="General" sourceLinked="1"/>
        <c:majorTickMark val="none"/>
        <c:minorTickMark val="none"/>
        <c:tickLblPos val="nextTo"/>
        <c:crossAx val="5524206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0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  <a:headEnd type="none" w="sm" len="sm"/>
        <a:tailEnd type="none" w="sm" len="sm"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>
          <a:alpha val="70000"/>
        </a:schemeClr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>
          <a:alpha val="70000"/>
        </a:schemeClr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46000">
            <a:schemeClr val="phClr"/>
          </a:gs>
          <a:gs pos="100000">
            <a:schemeClr val="phClr">
              <a:lumMod val="20000"/>
              <a:lumOff val="80000"/>
              <a:alpha val="0"/>
            </a:schemeClr>
          </a:gs>
        </a:gsLst>
        <a:path path="circle">
          <a:fillToRect l="50000" t="-80000" r="50000" b="180000"/>
        </a:path>
      </a:gradFill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tx1">
                <a:lumMod val="5000"/>
                <a:lumOff val="95000"/>
              </a:schemeClr>
            </a:gs>
            <a:gs pos="100000">
              <a:schemeClr val="tx1">
                <a:lumMod val="15000"/>
                <a:lumOff val="8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tx1">
                <a:lumMod val="5000"/>
                <a:lumOff val="95000"/>
              </a:schemeClr>
            </a:gs>
            <a:gs pos="100000">
              <a:schemeClr val="tx1">
                <a:lumMod val="15000"/>
                <a:lumOff val="8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1" kern="1200" cap="all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chart" Target="../charts/chart1.xml"/><Relationship Id="rId1" Type="http://schemas.openxmlformats.org/officeDocument/2006/relationships/image" Target="../media/image1.png"/><Relationship Id="rId4" Type="http://schemas.openxmlformats.org/officeDocument/2006/relationships/hyperlink" Target="#'Dashboard - Page 02'!A1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image" Target="../media/image1.png"/><Relationship Id="rId5" Type="http://schemas.openxmlformats.org/officeDocument/2006/relationships/hyperlink" Target="#'Dashboard - Page 01'!A1"/><Relationship Id="rId4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11</xdr:row>
      <xdr:rowOff>125730</xdr:rowOff>
    </xdr:from>
    <xdr:to>
      <xdr:col>1</xdr:col>
      <xdr:colOff>923359</xdr:colOff>
      <xdr:row>13</xdr:row>
      <xdr:rowOff>220980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9AD970B5-045D-45F6-9053-4EFD871A0B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0080" y="2682240"/>
          <a:ext cx="923359" cy="56007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297180</xdr:colOff>
      <xdr:row>0</xdr:row>
      <xdr:rowOff>121920</xdr:rowOff>
    </xdr:from>
    <xdr:to>
      <xdr:col>0</xdr:col>
      <xdr:colOff>1220539</xdr:colOff>
      <xdr:row>2</xdr:row>
      <xdr:rowOff>30480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400CF207-6F36-4740-AAF2-A8E3A598B5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7180" y="121920"/>
          <a:ext cx="923359" cy="56007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3</xdr:row>
      <xdr:rowOff>91440</xdr:rowOff>
    </xdr:from>
    <xdr:to>
      <xdr:col>18</xdr:col>
      <xdr:colOff>502920</xdr:colOff>
      <xdr:row>4</xdr:row>
      <xdr:rowOff>0</xdr:rowOff>
    </xdr:to>
    <xdr:sp macro="" textlink="">
      <xdr:nvSpPr>
        <xdr:cNvPr id="4" name="Retângulo 3">
          <a:extLst>
            <a:ext uri="{FF2B5EF4-FFF2-40B4-BE49-F238E27FC236}">
              <a16:creationId xmlns:a16="http://schemas.microsoft.com/office/drawing/2014/main" id="{C5564DF5-A6B4-8C2A-E763-C528E1D9CA72}"/>
            </a:ext>
          </a:extLst>
        </xdr:cNvPr>
        <xdr:cNvSpPr/>
      </xdr:nvSpPr>
      <xdr:spPr>
        <a:xfrm>
          <a:off x="0" y="784860"/>
          <a:ext cx="12904470" cy="91440"/>
        </a:xfrm>
        <a:prstGeom prst="rect">
          <a:avLst/>
        </a:prstGeom>
        <a:solidFill>
          <a:schemeClr val="bg1"/>
        </a:solidFill>
        <a:ln>
          <a:noFill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absolute">
    <xdr:from>
      <xdr:col>1</xdr:col>
      <xdr:colOff>163830</xdr:colOff>
      <xdr:row>6</xdr:row>
      <xdr:rowOff>121921</xdr:rowOff>
    </xdr:from>
    <xdr:to>
      <xdr:col>3</xdr:col>
      <xdr:colOff>260919</xdr:colOff>
      <xdr:row>12</xdr:row>
      <xdr:rowOff>152400</xdr:rowOff>
    </xdr:to>
    <xdr:grpSp>
      <xdr:nvGrpSpPr>
        <xdr:cNvPr id="11" name="Agrupar 10">
          <a:extLst>
            <a:ext uri="{FF2B5EF4-FFF2-40B4-BE49-F238E27FC236}">
              <a16:creationId xmlns:a16="http://schemas.microsoft.com/office/drawing/2014/main" id="{B33BA3D5-727B-BE9D-FD88-2A0AA83DFE28}"/>
            </a:ext>
          </a:extLst>
        </xdr:cNvPr>
        <xdr:cNvGrpSpPr/>
      </xdr:nvGrpSpPr>
      <xdr:grpSpPr>
        <a:xfrm>
          <a:off x="1684020" y="1379221"/>
          <a:ext cx="1377249" cy="1127759"/>
          <a:chOff x="2800350" y="1424940"/>
          <a:chExt cx="1558484" cy="1276163"/>
        </a:xfrm>
      </xdr:grpSpPr>
      <xdr:sp macro="" textlink="">
        <xdr:nvSpPr>
          <xdr:cNvPr id="7" name="Elipse 6">
            <a:extLst>
              <a:ext uri="{FF2B5EF4-FFF2-40B4-BE49-F238E27FC236}">
                <a16:creationId xmlns:a16="http://schemas.microsoft.com/office/drawing/2014/main" id="{55C10170-2CED-99EC-804D-67E6B5D43ECE}"/>
              </a:ext>
            </a:extLst>
          </xdr:cNvPr>
          <xdr:cNvSpPr/>
        </xdr:nvSpPr>
        <xdr:spPr>
          <a:xfrm>
            <a:off x="2952961" y="1424940"/>
            <a:ext cx="1253262" cy="1276163"/>
          </a:xfrm>
          <a:prstGeom prst="ellipse">
            <a:avLst/>
          </a:prstGeom>
          <a:solidFill>
            <a:srgbClr val="FFFFFF"/>
          </a:solidFill>
          <a:ln w="76200">
            <a:solidFill>
              <a:srgbClr val="C0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8" name="Retângulo: Cantos Diagonais Arredondados 7">
            <a:extLst>
              <a:ext uri="{FF2B5EF4-FFF2-40B4-BE49-F238E27FC236}">
                <a16:creationId xmlns:a16="http://schemas.microsoft.com/office/drawing/2014/main" id="{5E52D4A2-BCA3-9EEE-69DF-F439632C4649}"/>
              </a:ext>
            </a:extLst>
          </xdr:cNvPr>
          <xdr:cNvSpPr/>
        </xdr:nvSpPr>
        <xdr:spPr>
          <a:xfrm>
            <a:off x="2800350" y="2013705"/>
            <a:ext cx="1558484" cy="268418"/>
          </a:xfrm>
          <a:prstGeom prst="round2DiagRect">
            <a:avLst/>
          </a:prstGeom>
          <a:solidFill>
            <a:srgbClr val="FFC72C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 b="1">
                <a:solidFill>
                  <a:sysClr val="windowText" lastClr="000000"/>
                </a:solidFill>
                <a:latin typeface="Archivo Condensed" pitchFamily="2" charset="0"/>
                <a:cs typeface="Archivo Condensed" pitchFamily="2" charset="0"/>
              </a:rPr>
              <a:t>#</a:t>
            </a:r>
            <a:r>
              <a:rPr lang="en-US" sz="1100" b="1" baseline="0">
                <a:solidFill>
                  <a:sysClr val="windowText" lastClr="000000"/>
                </a:solidFill>
                <a:latin typeface="Archivo Condensed" pitchFamily="2" charset="0"/>
                <a:cs typeface="Archivo Condensed" pitchFamily="2" charset="0"/>
              </a:rPr>
              <a:t> ORDERS</a:t>
            </a:r>
            <a:endParaRPr lang="en-US" sz="1100" b="1">
              <a:solidFill>
                <a:sysClr val="windowText" lastClr="000000"/>
              </a:solidFill>
              <a:latin typeface="Archivo Condensed" pitchFamily="2" charset="0"/>
              <a:cs typeface="Archivo Condensed" pitchFamily="2" charset="0"/>
            </a:endParaRPr>
          </a:p>
        </xdr:txBody>
      </xdr:sp>
      <xdr:sp macro="" textlink="Calculation!C25">
        <xdr:nvSpPr>
          <xdr:cNvPr id="9" name="CaixaDeTexto 8">
            <a:extLst>
              <a:ext uri="{FF2B5EF4-FFF2-40B4-BE49-F238E27FC236}">
                <a16:creationId xmlns:a16="http://schemas.microsoft.com/office/drawing/2014/main" id="{F6E145A4-0DDE-CAD9-7B5C-491593F821FE}"/>
              </a:ext>
            </a:extLst>
          </xdr:cNvPr>
          <xdr:cNvSpPr txBox="1"/>
        </xdr:nvSpPr>
        <xdr:spPr>
          <a:xfrm>
            <a:off x="3077825" y="1686294"/>
            <a:ext cx="1003534" cy="33905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fld id="{5682294F-C6F5-4B94-B1E5-F4F977583C81}" type="TxLink">
              <a:rPr lang="en-US" sz="1400" b="1" i="0" u="none" strike="noStrike">
                <a:solidFill>
                  <a:srgbClr val="000000"/>
                </a:solidFill>
                <a:latin typeface="Archivo Condensed" pitchFamily="2" charset="0"/>
                <a:cs typeface="Archivo Condensed" pitchFamily="2" charset="0"/>
              </a:rPr>
              <a:t>350</a:t>
            </a:fld>
            <a:endParaRPr lang="en-US" sz="1400" b="1">
              <a:latin typeface="Archivo Condensed" pitchFamily="2" charset="0"/>
              <a:cs typeface="Archivo Condensed" pitchFamily="2" charset="0"/>
            </a:endParaRPr>
          </a:p>
        </xdr:txBody>
      </xdr:sp>
    </xdr:grpSp>
    <xdr:clientData/>
  </xdr:twoCellAnchor>
  <xdr:twoCellAnchor editAs="absolute">
    <xdr:from>
      <xdr:col>4</xdr:col>
      <xdr:colOff>182880</xdr:colOff>
      <xdr:row>6</xdr:row>
      <xdr:rowOff>121921</xdr:rowOff>
    </xdr:from>
    <xdr:to>
      <xdr:col>6</xdr:col>
      <xdr:colOff>279969</xdr:colOff>
      <xdr:row>12</xdr:row>
      <xdr:rowOff>152400</xdr:rowOff>
    </xdr:to>
    <xdr:grpSp>
      <xdr:nvGrpSpPr>
        <xdr:cNvPr id="12" name="Agrupar 11">
          <a:extLst>
            <a:ext uri="{FF2B5EF4-FFF2-40B4-BE49-F238E27FC236}">
              <a16:creationId xmlns:a16="http://schemas.microsoft.com/office/drawing/2014/main" id="{017A0B96-E394-45F2-94D0-D3A03614C9DE}"/>
            </a:ext>
          </a:extLst>
        </xdr:cNvPr>
        <xdr:cNvGrpSpPr/>
      </xdr:nvGrpSpPr>
      <xdr:grpSpPr>
        <a:xfrm>
          <a:off x="3623310" y="1379221"/>
          <a:ext cx="1377249" cy="1127759"/>
          <a:chOff x="2800350" y="1424940"/>
          <a:chExt cx="1558484" cy="1276163"/>
        </a:xfrm>
      </xdr:grpSpPr>
      <xdr:sp macro="" textlink="">
        <xdr:nvSpPr>
          <xdr:cNvPr id="13" name="Elipse 12">
            <a:extLst>
              <a:ext uri="{FF2B5EF4-FFF2-40B4-BE49-F238E27FC236}">
                <a16:creationId xmlns:a16="http://schemas.microsoft.com/office/drawing/2014/main" id="{31DE0E66-072B-040C-04A5-0306EF9D791E}"/>
              </a:ext>
            </a:extLst>
          </xdr:cNvPr>
          <xdr:cNvSpPr/>
        </xdr:nvSpPr>
        <xdr:spPr>
          <a:xfrm>
            <a:off x="2952961" y="1424940"/>
            <a:ext cx="1253262" cy="1276163"/>
          </a:xfrm>
          <a:prstGeom prst="ellipse">
            <a:avLst/>
          </a:prstGeom>
          <a:solidFill>
            <a:srgbClr val="FFFFFF"/>
          </a:solidFill>
          <a:ln w="76200">
            <a:solidFill>
              <a:srgbClr val="C0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14" name="Retângulo: Cantos Diagonais Arredondados 13">
            <a:extLst>
              <a:ext uri="{FF2B5EF4-FFF2-40B4-BE49-F238E27FC236}">
                <a16:creationId xmlns:a16="http://schemas.microsoft.com/office/drawing/2014/main" id="{32EABF4D-28CC-9086-D6A5-44A049A3221E}"/>
              </a:ext>
            </a:extLst>
          </xdr:cNvPr>
          <xdr:cNvSpPr/>
        </xdr:nvSpPr>
        <xdr:spPr>
          <a:xfrm>
            <a:off x="2800350" y="2013705"/>
            <a:ext cx="1558484" cy="268418"/>
          </a:xfrm>
          <a:prstGeom prst="round2DiagRect">
            <a:avLst/>
          </a:prstGeom>
          <a:solidFill>
            <a:srgbClr val="FFC72C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 b="1">
                <a:solidFill>
                  <a:sysClr val="windowText" lastClr="000000"/>
                </a:solidFill>
                <a:latin typeface="Archivo Condensed" pitchFamily="2" charset="0"/>
                <a:cs typeface="Archivo Condensed" pitchFamily="2" charset="0"/>
              </a:rPr>
              <a:t>GROSS</a:t>
            </a:r>
            <a:r>
              <a:rPr lang="en-US" sz="1100" b="1" baseline="0">
                <a:solidFill>
                  <a:sysClr val="windowText" lastClr="000000"/>
                </a:solidFill>
                <a:latin typeface="Archivo Condensed" pitchFamily="2" charset="0"/>
                <a:cs typeface="Archivo Condensed" pitchFamily="2" charset="0"/>
              </a:rPr>
              <a:t> REVENUE</a:t>
            </a:r>
            <a:endParaRPr lang="en-US" sz="1100" b="1">
              <a:solidFill>
                <a:sysClr val="windowText" lastClr="000000"/>
              </a:solidFill>
              <a:latin typeface="Archivo Condensed" pitchFamily="2" charset="0"/>
              <a:cs typeface="Archivo Condensed" pitchFamily="2" charset="0"/>
            </a:endParaRPr>
          </a:p>
        </xdr:txBody>
      </xdr:sp>
      <xdr:sp macro="" textlink="Calculation!E25">
        <xdr:nvSpPr>
          <xdr:cNvPr id="15" name="CaixaDeTexto 14">
            <a:extLst>
              <a:ext uri="{FF2B5EF4-FFF2-40B4-BE49-F238E27FC236}">
                <a16:creationId xmlns:a16="http://schemas.microsoft.com/office/drawing/2014/main" id="{F785030B-295D-371B-7380-BF622EA159DD}"/>
              </a:ext>
            </a:extLst>
          </xdr:cNvPr>
          <xdr:cNvSpPr txBox="1"/>
        </xdr:nvSpPr>
        <xdr:spPr>
          <a:xfrm>
            <a:off x="3077825" y="1686294"/>
            <a:ext cx="1003534" cy="33905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fld id="{2AF686BE-6B7D-4176-82B2-5F72EF9F27AC}" type="TxLink">
              <a:rPr lang="en-US" sz="1400" b="1" i="0" u="none" strike="noStrike">
                <a:solidFill>
                  <a:srgbClr val="000000"/>
                </a:solidFill>
                <a:latin typeface="Archivo Condensed" pitchFamily="2" charset="0"/>
                <a:cs typeface="Archivo Condensed" pitchFamily="2" charset="0"/>
              </a:rPr>
              <a:t>$3,410.37</a:t>
            </a:fld>
            <a:endParaRPr lang="en-US" sz="1400" b="1">
              <a:latin typeface="Archivo Condensed" pitchFamily="2" charset="0"/>
              <a:cs typeface="Archivo Condensed" pitchFamily="2" charset="0"/>
            </a:endParaRPr>
          </a:p>
        </xdr:txBody>
      </xdr:sp>
    </xdr:grpSp>
    <xdr:clientData/>
  </xdr:twoCellAnchor>
  <xdr:twoCellAnchor editAs="absolute">
    <xdr:from>
      <xdr:col>7</xdr:col>
      <xdr:colOff>220980</xdr:colOff>
      <xdr:row>6</xdr:row>
      <xdr:rowOff>121921</xdr:rowOff>
    </xdr:from>
    <xdr:to>
      <xdr:col>9</xdr:col>
      <xdr:colOff>318069</xdr:colOff>
      <xdr:row>12</xdr:row>
      <xdr:rowOff>152400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BDFC9AD4-364F-4351-850D-2B3E721580B8}"/>
            </a:ext>
          </a:extLst>
        </xdr:cNvPr>
        <xdr:cNvGrpSpPr/>
      </xdr:nvGrpSpPr>
      <xdr:grpSpPr>
        <a:xfrm>
          <a:off x="5581650" y="1379221"/>
          <a:ext cx="1377249" cy="1127759"/>
          <a:chOff x="2800350" y="1424940"/>
          <a:chExt cx="1558484" cy="1276163"/>
        </a:xfrm>
      </xdr:grpSpPr>
      <xdr:sp macro="" textlink="">
        <xdr:nvSpPr>
          <xdr:cNvPr id="18" name="Elipse 17">
            <a:extLst>
              <a:ext uri="{FF2B5EF4-FFF2-40B4-BE49-F238E27FC236}">
                <a16:creationId xmlns:a16="http://schemas.microsoft.com/office/drawing/2014/main" id="{187850EB-96A5-A9BF-9367-D3C285B969D0}"/>
              </a:ext>
            </a:extLst>
          </xdr:cNvPr>
          <xdr:cNvSpPr/>
        </xdr:nvSpPr>
        <xdr:spPr>
          <a:xfrm>
            <a:off x="2952961" y="1424940"/>
            <a:ext cx="1253262" cy="1276163"/>
          </a:xfrm>
          <a:prstGeom prst="ellipse">
            <a:avLst/>
          </a:prstGeom>
          <a:solidFill>
            <a:srgbClr val="FFFFFF"/>
          </a:solidFill>
          <a:ln w="76200">
            <a:solidFill>
              <a:srgbClr val="C0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19" name="Retângulo: Cantos Diagonais Arredondados 18">
            <a:extLst>
              <a:ext uri="{FF2B5EF4-FFF2-40B4-BE49-F238E27FC236}">
                <a16:creationId xmlns:a16="http://schemas.microsoft.com/office/drawing/2014/main" id="{D413E7D4-93F7-245D-4087-EAC6C6392BB2}"/>
              </a:ext>
            </a:extLst>
          </xdr:cNvPr>
          <xdr:cNvSpPr/>
        </xdr:nvSpPr>
        <xdr:spPr>
          <a:xfrm>
            <a:off x="2800350" y="2013705"/>
            <a:ext cx="1558484" cy="268418"/>
          </a:xfrm>
          <a:prstGeom prst="round2DiagRect">
            <a:avLst/>
          </a:prstGeom>
          <a:solidFill>
            <a:srgbClr val="FFC72C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 b="1" baseline="0">
                <a:solidFill>
                  <a:sysClr val="windowText" lastClr="000000"/>
                </a:solidFill>
                <a:latin typeface="Archivo Condensed" pitchFamily="2" charset="0"/>
                <a:cs typeface="Archivo Condensed" pitchFamily="2" charset="0"/>
              </a:rPr>
              <a:t>COUPONS DISCOUNT</a:t>
            </a:r>
            <a:endParaRPr lang="en-US" sz="1100" b="1">
              <a:solidFill>
                <a:sysClr val="windowText" lastClr="000000"/>
              </a:solidFill>
              <a:latin typeface="Archivo Condensed" pitchFamily="2" charset="0"/>
              <a:cs typeface="Archivo Condensed" pitchFamily="2" charset="0"/>
            </a:endParaRPr>
          </a:p>
        </xdr:txBody>
      </xdr:sp>
      <xdr:sp macro="" textlink="Calculation!G25">
        <xdr:nvSpPr>
          <xdr:cNvPr id="20" name="CaixaDeTexto 19">
            <a:extLst>
              <a:ext uri="{FF2B5EF4-FFF2-40B4-BE49-F238E27FC236}">
                <a16:creationId xmlns:a16="http://schemas.microsoft.com/office/drawing/2014/main" id="{E36D169C-0C82-A670-0195-8FC21E960B2D}"/>
              </a:ext>
            </a:extLst>
          </xdr:cNvPr>
          <xdr:cNvSpPr txBox="1"/>
        </xdr:nvSpPr>
        <xdr:spPr>
          <a:xfrm>
            <a:off x="3077825" y="1686294"/>
            <a:ext cx="1003534" cy="33905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fld id="{4D2BE65C-15ED-4222-A7DD-DB2E9122C36F}" type="TxLink">
              <a:rPr lang="en-US" sz="1400" b="1" i="0" u="none" strike="noStrike">
                <a:solidFill>
                  <a:srgbClr val="000000"/>
                </a:solidFill>
                <a:latin typeface="Archivo Condensed" pitchFamily="2" charset="0"/>
                <a:cs typeface="Archivo Condensed" pitchFamily="2" charset="0"/>
              </a:rPr>
              <a:t>$193.85</a:t>
            </a:fld>
            <a:endParaRPr lang="en-US" sz="1400" b="1">
              <a:latin typeface="Archivo Condensed" pitchFamily="2" charset="0"/>
              <a:cs typeface="Archivo Condensed" pitchFamily="2" charset="0"/>
            </a:endParaRPr>
          </a:p>
        </xdr:txBody>
      </xdr:sp>
    </xdr:grpSp>
    <xdr:clientData/>
  </xdr:twoCellAnchor>
  <xdr:twoCellAnchor editAs="absolute">
    <xdr:from>
      <xdr:col>10</xdr:col>
      <xdr:colOff>243840</xdr:colOff>
      <xdr:row>6</xdr:row>
      <xdr:rowOff>121921</xdr:rowOff>
    </xdr:from>
    <xdr:to>
      <xdr:col>12</xdr:col>
      <xdr:colOff>340929</xdr:colOff>
      <xdr:row>12</xdr:row>
      <xdr:rowOff>152400</xdr:rowOff>
    </xdr:to>
    <xdr:grpSp>
      <xdr:nvGrpSpPr>
        <xdr:cNvPr id="22" name="Agrupar 21">
          <a:extLst>
            <a:ext uri="{FF2B5EF4-FFF2-40B4-BE49-F238E27FC236}">
              <a16:creationId xmlns:a16="http://schemas.microsoft.com/office/drawing/2014/main" id="{34D722FD-B11E-4C14-AB1C-2D8DF3B6487A}"/>
            </a:ext>
          </a:extLst>
        </xdr:cNvPr>
        <xdr:cNvGrpSpPr/>
      </xdr:nvGrpSpPr>
      <xdr:grpSpPr>
        <a:xfrm>
          <a:off x="7524750" y="1379221"/>
          <a:ext cx="1377249" cy="1127759"/>
          <a:chOff x="2800350" y="1424940"/>
          <a:chExt cx="1558484" cy="1276163"/>
        </a:xfrm>
      </xdr:grpSpPr>
      <xdr:sp macro="" textlink="">
        <xdr:nvSpPr>
          <xdr:cNvPr id="23" name="Elipse 22">
            <a:extLst>
              <a:ext uri="{FF2B5EF4-FFF2-40B4-BE49-F238E27FC236}">
                <a16:creationId xmlns:a16="http://schemas.microsoft.com/office/drawing/2014/main" id="{B1A7C973-74FB-1AD1-D296-E5C63E929A89}"/>
              </a:ext>
            </a:extLst>
          </xdr:cNvPr>
          <xdr:cNvSpPr/>
        </xdr:nvSpPr>
        <xdr:spPr>
          <a:xfrm>
            <a:off x="2952961" y="1424940"/>
            <a:ext cx="1253262" cy="1276163"/>
          </a:xfrm>
          <a:prstGeom prst="ellipse">
            <a:avLst/>
          </a:prstGeom>
          <a:solidFill>
            <a:srgbClr val="FFFFFF"/>
          </a:solidFill>
          <a:ln w="76200">
            <a:solidFill>
              <a:srgbClr val="C0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24" name="Retângulo: Cantos Diagonais Arredondados 23">
            <a:extLst>
              <a:ext uri="{FF2B5EF4-FFF2-40B4-BE49-F238E27FC236}">
                <a16:creationId xmlns:a16="http://schemas.microsoft.com/office/drawing/2014/main" id="{43B45EEE-2695-FCF5-4FA0-4B3A64259415}"/>
              </a:ext>
            </a:extLst>
          </xdr:cNvPr>
          <xdr:cNvSpPr/>
        </xdr:nvSpPr>
        <xdr:spPr>
          <a:xfrm>
            <a:off x="2800350" y="2013705"/>
            <a:ext cx="1558484" cy="268418"/>
          </a:xfrm>
          <a:prstGeom prst="round2DiagRect">
            <a:avLst/>
          </a:prstGeom>
          <a:solidFill>
            <a:srgbClr val="FFC72C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 b="1">
                <a:solidFill>
                  <a:sysClr val="windowText" lastClr="000000"/>
                </a:solidFill>
                <a:latin typeface="Archivo Condensed" pitchFamily="2" charset="0"/>
                <a:cs typeface="Archivo Condensed" pitchFamily="2" charset="0"/>
              </a:rPr>
              <a:t>NET</a:t>
            </a:r>
            <a:r>
              <a:rPr lang="en-US" sz="1100" b="1" baseline="0">
                <a:solidFill>
                  <a:sysClr val="windowText" lastClr="000000"/>
                </a:solidFill>
                <a:latin typeface="Archivo Condensed" pitchFamily="2" charset="0"/>
                <a:cs typeface="Archivo Condensed" pitchFamily="2" charset="0"/>
              </a:rPr>
              <a:t> REVENUE</a:t>
            </a:r>
            <a:endParaRPr lang="en-US" sz="1100" b="1">
              <a:solidFill>
                <a:sysClr val="windowText" lastClr="000000"/>
              </a:solidFill>
              <a:latin typeface="Archivo Condensed" pitchFamily="2" charset="0"/>
              <a:cs typeface="Archivo Condensed" pitchFamily="2" charset="0"/>
            </a:endParaRPr>
          </a:p>
        </xdr:txBody>
      </xdr:sp>
      <xdr:sp macro="" textlink="Calculation!I25">
        <xdr:nvSpPr>
          <xdr:cNvPr id="25" name="CaixaDeTexto 24">
            <a:extLst>
              <a:ext uri="{FF2B5EF4-FFF2-40B4-BE49-F238E27FC236}">
                <a16:creationId xmlns:a16="http://schemas.microsoft.com/office/drawing/2014/main" id="{E9D53C72-5543-65E3-42E9-D95145728510}"/>
              </a:ext>
            </a:extLst>
          </xdr:cNvPr>
          <xdr:cNvSpPr txBox="1"/>
        </xdr:nvSpPr>
        <xdr:spPr>
          <a:xfrm>
            <a:off x="3077825" y="1686294"/>
            <a:ext cx="1003534" cy="33905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fld id="{E12296BF-6B06-49E3-931F-21B064ADC151}" type="TxLink">
              <a:rPr lang="en-US" sz="1400" b="1" i="0" u="none" strike="noStrike">
                <a:solidFill>
                  <a:srgbClr val="000000"/>
                </a:solidFill>
                <a:latin typeface="Archivo Condensed" pitchFamily="2" charset="0"/>
                <a:cs typeface="Archivo Condensed" pitchFamily="2" charset="0"/>
              </a:rPr>
              <a:t>$3,216.52</a:t>
            </a:fld>
            <a:endParaRPr lang="en-US" sz="1400" b="1">
              <a:latin typeface="Archivo Condensed" pitchFamily="2" charset="0"/>
              <a:cs typeface="Archivo Condensed" pitchFamily="2" charset="0"/>
            </a:endParaRPr>
          </a:p>
        </xdr:txBody>
      </xdr:sp>
    </xdr:grpSp>
    <xdr:clientData/>
  </xdr:twoCellAnchor>
  <xdr:twoCellAnchor editAs="absolute">
    <xdr:from>
      <xdr:col>13</xdr:col>
      <xdr:colOff>259080</xdr:colOff>
      <xdr:row>6</xdr:row>
      <xdr:rowOff>121921</xdr:rowOff>
    </xdr:from>
    <xdr:to>
      <xdr:col>15</xdr:col>
      <xdr:colOff>356169</xdr:colOff>
      <xdr:row>12</xdr:row>
      <xdr:rowOff>152400</xdr:rowOff>
    </xdr:to>
    <xdr:grpSp>
      <xdr:nvGrpSpPr>
        <xdr:cNvPr id="27" name="Agrupar 26">
          <a:extLst>
            <a:ext uri="{FF2B5EF4-FFF2-40B4-BE49-F238E27FC236}">
              <a16:creationId xmlns:a16="http://schemas.microsoft.com/office/drawing/2014/main" id="{7C7B24A3-F7B9-46D7-9FE0-B5BFC53767B2}"/>
            </a:ext>
          </a:extLst>
        </xdr:cNvPr>
        <xdr:cNvGrpSpPr/>
      </xdr:nvGrpSpPr>
      <xdr:grpSpPr>
        <a:xfrm>
          <a:off x="9460230" y="1379221"/>
          <a:ext cx="1377249" cy="1127759"/>
          <a:chOff x="2800350" y="1424940"/>
          <a:chExt cx="1558484" cy="1276163"/>
        </a:xfrm>
      </xdr:grpSpPr>
      <xdr:sp macro="" textlink="">
        <xdr:nvSpPr>
          <xdr:cNvPr id="28" name="Elipse 27">
            <a:extLst>
              <a:ext uri="{FF2B5EF4-FFF2-40B4-BE49-F238E27FC236}">
                <a16:creationId xmlns:a16="http://schemas.microsoft.com/office/drawing/2014/main" id="{EA9C6DD9-1EC1-0DA9-4489-96C101746CA4}"/>
              </a:ext>
            </a:extLst>
          </xdr:cNvPr>
          <xdr:cNvSpPr/>
        </xdr:nvSpPr>
        <xdr:spPr>
          <a:xfrm>
            <a:off x="2952961" y="1424940"/>
            <a:ext cx="1253262" cy="1276163"/>
          </a:xfrm>
          <a:prstGeom prst="ellipse">
            <a:avLst/>
          </a:prstGeom>
          <a:solidFill>
            <a:srgbClr val="FFFFFF"/>
          </a:solidFill>
          <a:ln w="76200">
            <a:solidFill>
              <a:srgbClr val="C0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29" name="Retângulo: Cantos Diagonais Arredondados 28">
            <a:extLst>
              <a:ext uri="{FF2B5EF4-FFF2-40B4-BE49-F238E27FC236}">
                <a16:creationId xmlns:a16="http://schemas.microsoft.com/office/drawing/2014/main" id="{E23DF277-8202-CAD2-AA9D-EAA1D77BE89A}"/>
              </a:ext>
            </a:extLst>
          </xdr:cNvPr>
          <xdr:cNvSpPr/>
        </xdr:nvSpPr>
        <xdr:spPr>
          <a:xfrm>
            <a:off x="2800350" y="2013705"/>
            <a:ext cx="1558484" cy="268418"/>
          </a:xfrm>
          <a:prstGeom prst="round2DiagRect">
            <a:avLst/>
          </a:prstGeom>
          <a:solidFill>
            <a:srgbClr val="FFC72C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 b="1">
                <a:solidFill>
                  <a:sysClr val="windowText" lastClr="000000"/>
                </a:solidFill>
                <a:latin typeface="Archivo Condensed" pitchFamily="2" charset="0"/>
                <a:cs typeface="Archivo Condensed" pitchFamily="2" charset="0"/>
              </a:rPr>
              <a:t>GROSS PROFIT</a:t>
            </a:r>
          </a:p>
        </xdr:txBody>
      </xdr:sp>
      <xdr:sp macro="" textlink="Calculation!L25">
        <xdr:nvSpPr>
          <xdr:cNvPr id="30" name="CaixaDeTexto 29">
            <a:extLst>
              <a:ext uri="{FF2B5EF4-FFF2-40B4-BE49-F238E27FC236}">
                <a16:creationId xmlns:a16="http://schemas.microsoft.com/office/drawing/2014/main" id="{A72228BE-9F65-774A-C099-44DDDC681945}"/>
              </a:ext>
            </a:extLst>
          </xdr:cNvPr>
          <xdr:cNvSpPr txBox="1"/>
        </xdr:nvSpPr>
        <xdr:spPr>
          <a:xfrm>
            <a:off x="3077825" y="1686294"/>
            <a:ext cx="1003534" cy="33905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fld id="{2E083CC8-1BB9-4C29-B09A-7A919B02976F}" type="TxLink">
              <a:rPr lang="en-US" sz="1400" b="1" i="0" u="none" strike="noStrike">
                <a:solidFill>
                  <a:srgbClr val="000000"/>
                </a:solidFill>
                <a:latin typeface="Archivo Condensed" pitchFamily="2" charset="0"/>
                <a:cs typeface="Archivo Condensed" pitchFamily="2" charset="0"/>
              </a:rPr>
              <a:t>$1,784.71</a:t>
            </a:fld>
            <a:endParaRPr lang="en-US" sz="1400" b="1">
              <a:latin typeface="Archivo Condensed" pitchFamily="2" charset="0"/>
              <a:cs typeface="Archivo Condensed" pitchFamily="2" charset="0"/>
            </a:endParaRPr>
          </a:p>
        </xdr:txBody>
      </xdr:sp>
    </xdr:grpSp>
    <xdr:clientData/>
  </xdr:twoCellAnchor>
  <xdr:twoCellAnchor editAs="absolute">
    <xdr:from>
      <xdr:col>14</xdr:col>
      <xdr:colOff>220979</xdr:colOff>
      <xdr:row>10</xdr:row>
      <xdr:rowOff>137160</xdr:rowOff>
    </xdr:from>
    <xdr:to>
      <xdr:col>17</xdr:col>
      <xdr:colOff>57150</xdr:colOff>
      <xdr:row>12</xdr:row>
      <xdr:rowOff>26670</xdr:rowOff>
    </xdr:to>
    <xdr:grpSp>
      <xdr:nvGrpSpPr>
        <xdr:cNvPr id="34" name="Agrupar 33">
          <a:extLst>
            <a:ext uri="{FF2B5EF4-FFF2-40B4-BE49-F238E27FC236}">
              <a16:creationId xmlns:a16="http://schemas.microsoft.com/office/drawing/2014/main" id="{098B1578-EE0F-6435-1B3D-4BE87233D3BE}"/>
            </a:ext>
          </a:extLst>
        </xdr:cNvPr>
        <xdr:cNvGrpSpPr/>
      </xdr:nvGrpSpPr>
      <xdr:grpSpPr>
        <a:xfrm>
          <a:off x="10062209" y="2125980"/>
          <a:ext cx="2308861" cy="255270"/>
          <a:chOff x="5537265" y="2583180"/>
          <a:chExt cx="2562151" cy="304800"/>
        </a:xfrm>
      </xdr:grpSpPr>
      <xdr:sp macro="" textlink="">
        <xdr:nvSpPr>
          <xdr:cNvPr id="32" name="Retângulo: Cantos Arredondados 31">
            <a:extLst>
              <a:ext uri="{FF2B5EF4-FFF2-40B4-BE49-F238E27FC236}">
                <a16:creationId xmlns:a16="http://schemas.microsoft.com/office/drawing/2014/main" id="{066A8544-5D79-15F0-EB3F-687C01B0ED47}"/>
              </a:ext>
            </a:extLst>
          </xdr:cNvPr>
          <xdr:cNvSpPr/>
        </xdr:nvSpPr>
        <xdr:spPr>
          <a:xfrm>
            <a:off x="5537265" y="2583180"/>
            <a:ext cx="1979865" cy="304800"/>
          </a:xfrm>
          <a:prstGeom prst="roundRect">
            <a:avLst/>
          </a:prstGeom>
          <a:solidFill>
            <a:srgbClr val="BD0017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l"/>
            <a:r>
              <a:rPr lang="en-US" sz="1050" b="1">
                <a:latin typeface="Archivo Condensed" pitchFamily="2" charset="0"/>
                <a:cs typeface="Archivo Condensed" pitchFamily="2" charset="0"/>
              </a:rPr>
              <a:t>GROSS</a:t>
            </a:r>
            <a:r>
              <a:rPr lang="en-US" sz="1050" b="1" baseline="0">
                <a:latin typeface="Archivo Condensed" pitchFamily="2" charset="0"/>
                <a:cs typeface="Archivo Condensed" pitchFamily="2" charset="0"/>
              </a:rPr>
              <a:t> PROFIT MARGIN %</a:t>
            </a:r>
            <a:endParaRPr lang="en-US" sz="1050" b="1">
              <a:latin typeface="Archivo Condensed" pitchFamily="2" charset="0"/>
              <a:cs typeface="Archivo Condensed" pitchFamily="2" charset="0"/>
            </a:endParaRPr>
          </a:p>
        </xdr:txBody>
      </xdr:sp>
      <xdr:sp macro="" textlink="Calculation!N25">
        <xdr:nvSpPr>
          <xdr:cNvPr id="33" name="Retângulo: Cantos Arredondados 32">
            <a:extLst>
              <a:ext uri="{FF2B5EF4-FFF2-40B4-BE49-F238E27FC236}">
                <a16:creationId xmlns:a16="http://schemas.microsoft.com/office/drawing/2014/main" id="{196F4580-60A5-499A-8996-BD0028A36DCB}"/>
              </a:ext>
            </a:extLst>
          </xdr:cNvPr>
          <xdr:cNvSpPr/>
        </xdr:nvSpPr>
        <xdr:spPr>
          <a:xfrm>
            <a:off x="7268836" y="2583180"/>
            <a:ext cx="830580" cy="304800"/>
          </a:xfrm>
          <a:prstGeom prst="roundRect">
            <a:avLst/>
          </a:prstGeom>
          <a:solidFill>
            <a:srgbClr val="FFC72C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r"/>
            <a:fld id="{2D879220-0A49-4F26-82B2-96F2E15B34F0}" type="TxLink">
              <a:rPr lang="en-US" sz="1400" b="1" i="0" u="none" strike="noStrike">
                <a:solidFill>
                  <a:srgbClr val="000000"/>
                </a:solidFill>
                <a:latin typeface="Archivo Condensed" pitchFamily="2" charset="0"/>
                <a:cs typeface="Archivo Condensed" pitchFamily="2" charset="0"/>
              </a:rPr>
              <a:pPr algn="r"/>
              <a:t>55.5%</a:t>
            </a:fld>
            <a:endParaRPr lang="en-US" sz="1400" b="1">
              <a:solidFill>
                <a:schemeClr val="tx1"/>
              </a:solidFill>
              <a:latin typeface="Archivo Condensed" pitchFamily="2" charset="0"/>
              <a:cs typeface="Archivo Condensed" pitchFamily="2" charset="0"/>
            </a:endParaRPr>
          </a:p>
        </xdr:txBody>
      </xdr:sp>
    </xdr:grpSp>
    <xdr:clientData/>
  </xdr:twoCellAnchor>
  <xdr:twoCellAnchor editAs="absolute">
    <xdr:from>
      <xdr:col>1</xdr:col>
      <xdr:colOff>171450</xdr:colOff>
      <xdr:row>16</xdr:row>
      <xdr:rowOff>137389</xdr:rowOff>
    </xdr:from>
    <xdr:to>
      <xdr:col>9</xdr:col>
      <xdr:colOff>590550</xdr:colOff>
      <xdr:row>32</xdr:row>
      <xdr:rowOff>60960</xdr:rowOff>
    </xdr:to>
    <xdr:graphicFrame macro="">
      <xdr:nvGraphicFramePr>
        <xdr:cNvPr id="35" name="Gráfico 34">
          <a:extLst>
            <a:ext uri="{FF2B5EF4-FFF2-40B4-BE49-F238E27FC236}">
              <a16:creationId xmlns:a16="http://schemas.microsoft.com/office/drawing/2014/main" id="{643426B8-F186-4232-98DB-48B6453886B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9</xdr:col>
      <xdr:colOff>609600</xdr:colOff>
      <xdr:row>16</xdr:row>
      <xdr:rowOff>129540</xdr:rowOff>
    </xdr:from>
    <xdr:to>
      <xdr:col>17</xdr:col>
      <xdr:colOff>217170</xdr:colOff>
      <xdr:row>32</xdr:row>
      <xdr:rowOff>41910</xdr:rowOff>
    </xdr:to>
    <xdr:graphicFrame macro="">
      <xdr:nvGraphicFramePr>
        <xdr:cNvPr id="36" name="Gráfico 35">
          <a:extLst>
            <a:ext uri="{FF2B5EF4-FFF2-40B4-BE49-F238E27FC236}">
              <a16:creationId xmlns:a16="http://schemas.microsoft.com/office/drawing/2014/main" id="{7D5948CB-8915-4697-8BCC-48A8A0FB6A0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absolute">
    <xdr:from>
      <xdr:col>10</xdr:col>
      <xdr:colOff>243840</xdr:colOff>
      <xdr:row>16</xdr:row>
      <xdr:rowOff>7620</xdr:rowOff>
    </xdr:from>
    <xdr:to>
      <xdr:col>17</xdr:col>
      <xdr:colOff>205740</xdr:colOff>
      <xdr:row>17</xdr:row>
      <xdr:rowOff>99060</xdr:rowOff>
    </xdr:to>
    <xdr:grpSp>
      <xdr:nvGrpSpPr>
        <xdr:cNvPr id="40" name="Agrupar 39">
          <a:extLst>
            <a:ext uri="{FF2B5EF4-FFF2-40B4-BE49-F238E27FC236}">
              <a16:creationId xmlns:a16="http://schemas.microsoft.com/office/drawing/2014/main" id="{22E2C616-E143-2528-2091-2C73D3BCEF05}"/>
            </a:ext>
          </a:extLst>
        </xdr:cNvPr>
        <xdr:cNvGrpSpPr/>
      </xdr:nvGrpSpPr>
      <xdr:grpSpPr>
        <a:xfrm>
          <a:off x="7524750" y="3093720"/>
          <a:ext cx="4994910" cy="274320"/>
          <a:chOff x="7379970" y="2735580"/>
          <a:chExt cx="4806831" cy="274320"/>
        </a:xfrm>
      </xdr:grpSpPr>
      <xdr:sp macro="" textlink="">
        <xdr:nvSpPr>
          <xdr:cNvPr id="38" name="Retângulo: Cantos Diagonais Arredondados 37">
            <a:extLst>
              <a:ext uri="{FF2B5EF4-FFF2-40B4-BE49-F238E27FC236}">
                <a16:creationId xmlns:a16="http://schemas.microsoft.com/office/drawing/2014/main" id="{7A3D9CD2-BD67-FF2E-DE7B-2097B02CA386}"/>
              </a:ext>
            </a:extLst>
          </xdr:cNvPr>
          <xdr:cNvSpPr/>
        </xdr:nvSpPr>
        <xdr:spPr>
          <a:xfrm>
            <a:off x="7429500" y="2735580"/>
            <a:ext cx="4632960" cy="262890"/>
          </a:xfrm>
          <a:prstGeom prst="round2DiagRect">
            <a:avLst/>
          </a:prstGeom>
          <a:solidFill>
            <a:schemeClr val="bg1"/>
          </a:solidFill>
          <a:ln>
            <a:solidFill>
              <a:srgbClr val="C0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37" name="CaixaDeTexto 36">
            <a:extLst>
              <a:ext uri="{FF2B5EF4-FFF2-40B4-BE49-F238E27FC236}">
                <a16:creationId xmlns:a16="http://schemas.microsoft.com/office/drawing/2014/main" id="{6E95C77F-B0C4-DA7C-F110-C07ACA829092}"/>
              </a:ext>
            </a:extLst>
          </xdr:cNvPr>
          <xdr:cNvSpPr txBox="1"/>
        </xdr:nvSpPr>
        <xdr:spPr>
          <a:xfrm>
            <a:off x="7593330" y="2766060"/>
            <a:ext cx="4593471" cy="23320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spAutoFit/>
          </a:bodyPr>
          <a:lstStyle/>
          <a:p>
            <a:r>
              <a:rPr lang="en-US" sz="900" b="1">
                <a:solidFill>
                  <a:sysClr val="windowText" lastClr="000000"/>
                </a:solidFill>
                <a:latin typeface="Archivo Condensed" pitchFamily="2" charset="0"/>
                <a:cs typeface="Archivo Condensed" pitchFamily="2" charset="0"/>
              </a:rPr>
              <a:t>    GROSS</a:t>
            </a:r>
            <a:r>
              <a:rPr lang="en-US" sz="900" b="1" baseline="0">
                <a:solidFill>
                  <a:sysClr val="windowText" lastClr="000000"/>
                </a:solidFill>
                <a:latin typeface="Archivo Condensed" pitchFamily="2" charset="0"/>
                <a:cs typeface="Archivo Condensed" pitchFamily="2" charset="0"/>
              </a:rPr>
              <a:t> REVENUE    </a:t>
            </a:r>
            <a:r>
              <a:rPr lang="en-US" sz="900"/>
              <a:t>→</a:t>
            </a:r>
            <a:r>
              <a:rPr lang="en-US" sz="900" b="1" baseline="0">
                <a:solidFill>
                  <a:sysClr val="windowText" lastClr="000000"/>
                </a:solidFill>
                <a:latin typeface="Archivo Condensed" pitchFamily="2" charset="0"/>
                <a:cs typeface="Archivo Condensed" pitchFamily="2" charset="0"/>
              </a:rPr>
              <a:t>        DISCOUNT     </a:t>
            </a:r>
            <a:r>
              <a:rPr lang="en-US" sz="900"/>
              <a:t>→</a:t>
            </a:r>
            <a:r>
              <a:rPr lang="en-US" sz="900" b="1" baseline="0">
                <a:solidFill>
                  <a:sysClr val="windowText" lastClr="000000"/>
                </a:solidFill>
                <a:latin typeface="Archivo Condensed" pitchFamily="2" charset="0"/>
                <a:cs typeface="Archivo Condensed" pitchFamily="2" charset="0"/>
              </a:rPr>
              <a:t>       NET REVENUE             </a:t>
            </a:r>
            <a:r>
              <a:rPr lang="en-US" sz="900"/>
              <a:t>→</a:t>
            </a:r>
            <a:r>
              <a:rPr lang="en-US" sz="900" b="1" baseline="0">
                <a:solidFill>
                  <a:sysClr val="windowText" lastClr="000000"/>
                </a:solidFill>
                <a:latin typeface="Archivo Condensed" pitchFamily="2" charset="0"/>
                <a:cs typeface="Archivo Condensed" pitchFamily="2" charset="0"/>
              </a:rPr>
              <a:t>                     COGS       </a:t>
            </a:r>
            <a:r>
              <a:rPr lang="en-US" sz="900"/>
              <a:t>→</a:t>
            </a:r>
            <a:r>
              <a:rPr lang="en-US" sz="900" b="1" baseline="0">
                <a:solidFill>
                  <a:sysClr val="windowText" lastClr="000000"/>
                </a:solidFill>
                <a:latin typeface="Archivo Condensed" pitchFamily="2" charset="0"/>
                <a:cs typeface="Archivo Condensed" pitchFamily="2" charset="0"/>
              </a:rPr>
              <a:t>       GROSS PROFIT</a:t>
            </a:r>
            <a:endParaRPr lang="en-US" sz="900" b="1">
              <a:solidFill>
                <a:sysClr val="windowText" lastClr="000000"/>
              </a:solidFill>
              <a:latin typeface="Archivo Condensed" pitchFamily="2" charset="0"/>
              <a:cs typeface="Archivo Condensed" pitchFamily="2" charset="0"/>
            </a:endParaRPr>
          </a:p>
        </xdr:txBody>
      </xdr:sp>
      <xdr:sp macro="" textlink="">
        <xdr:nvSpPr>
          <xdr:cNvPr id="39" name="Retângulo 38">
            <a:extLst>
              <a:ext uri="{FF2B5EF4-FFF2-40B4-BE49-F238E27FC236}">
                <a16:creationId xmlns:a16="http://schemas.microsoft.com/office/drawing/2014/main" id="{10DAC1E2-C159-0894-CCB9-06009C736DAF}"/>
              </a:ext>
            </a:extLst>
          </xdr:cNvPr>
          <xdr:cNvSpPr/>
        </xdr:nvSpPr>
        <xdr:spPr>
          <a:xfrm>
            <a:off x="7379970" y="2964180"/>
            <a:ext cx="4732020" cy="45720"/>
          </a:xfrm>
          <a:prstGeom prst="rect">
            <a:avLst/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2</xdr:col>
      <xdr:colOff>125730</xdr:colOff>
      <xdr:row>16</xdr:row>
      <xdr:rowOff>19050</xdr:rowOff>
    </xdr:from>
    <xdr:to>
      <xdr:col>9</xdr:col>
      <xdr:colOff>152558</xdr:colOff>
      <xdr:row>17</xdr:row>
      <xdr:rowOff>54050</xdr:rowOff>
    </xdr:to>
    <xdr:sp macro="" textlink="">
      <xdr:nvSpPr>
        <xdr:cNvPr id="41" name="CaixaDeTexto 40">
          <a:extLst>
            <a:ext uri="{FF2B5EF4-FFF2-40B4-BE49-F238E27FC236}">
              <a16:creationId xmlns:a16="http://schemas.microsoft.com/office/drawing/2014/main" id="{B93BBD16-819D-432A-902D-3878A1F55254}"/>
            </a:ext>
          </a:extLst>
        </xdr:cNvPr>
        <xdr:cNvSpPr txBox="1"/>
      </xdr:nvSpPr>
      <xdr:spPr>
        <a:xfrm>
          <a:off x="2286000" y="3105150"/>
          <a:ext cx="4507388" cy="21788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en-US" sz="1000" b="1">
              <a:solidFill>
                <a:sysClr val="windowText" lastClr="000000"/>
              </a:solidFill>
              <a:latin typeface="Archivo Condensed" pitchFamily="2" charset="0"/>
              <a:cs typeface="Archivo Condensed" pitchFamily="2" charset="0"/>
            </a:rPr>
            <a:t>GROSS</a:t>
          </a:r>
          <a:r>
            <a:rPr lang="en-US" sz="1000" b="1" baseline="0">
              <a:solidFill>
                <a:sysClr val="windowText" lastClr="000000"/>
              </a:solidFill>
              <a:latin typeface="Archivo Condensed" pitchFamily="2" charset="0"/>
              <a:cs typeface="Archivo Condensed" pitchFamily="2" charset="0"/>
            </a:rPr>
            <a:t> REVENUE      VS    GROSS PROFIT MARGIN %</a:t>
          </a:r>
          <a:endParaRPr lang="en-US" sz="1000" b="1">
            <a:solidFill>
              <a:sysClr val="windowText" lastClr="000000"/>
            </a:solidFill>
            <a:latin typeface="Archivo Condensed" pitchFamily="2" charset="0"/>
            <a:cs typeface="Archivo Condensed" pitchFamily="2" charset="0"/>
          </a:endParaRPr>
        </a:p>
      </xdr:txBody>
    </xdr:sp>
    <xdr:clientData/>
  </xdr:twoCellAnchor>
  <xdr:twoCellAnchor editAs="oneCell">
    <xdr:from>
      <xdr:col>0</xdr:col>
      <xdr:colOff>38100</xdr:colOff>
      <xdr:row>4</xdr:row>
      <xdr:rowOff>129540</xdr:rowOff>
    </xdr:from>
    <xdr:to>
      <xdr:col>0</xdr:col>
      <xdr:colOff>1466850</xdr:colOff>
      <xdr:row>19</xdr:row>
      <xdr:rowOff>24765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42" name="Region">
              <a:extLst>
                <a:ext uri="{FF2B5EF4-FFF2-40B4-BE49-F238E27FC236}">
                  <a16:creationId xmlns:a16="http://schemas.microsoft.com/office/drawing/2014/main" id="{B1DBE19A-EBD7-BEB4-09F2-A0E59FC8E0B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egion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8100" y="1021080"/>
              <a:ext cx="1428750" cy="2638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14</xdr:col>
      <xdr:colOff>270510</xdr:colOff>
      <xdr:row>1</xdr:row>
      <xdr:rowOff>373380</xdr:rowOff>
    </xdr:from>
    <xdr:to>
      <xdr:col>15</xdr:col>
      <xdr:colOff>982980</xdr:colOff>
      <xdr:row>4</xdr:row>
      <xdr:rowOff>0</xdr:rowOff>
    </xdr:to>
    <xdr:sp macro="" textlink="">
      <xdr:nvSpPr>
        <xdr:cNvPr id="45" name="Retângulo: Cantos Superiores Arredondados 4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F6DC7905-F2EA-3587-A7E7-04AAC65A1427}"/>
            </a:ext>
          </a:extLst>
        </xdr:cNvPr>
        <xdr:cNvSpPr/>
      </xdr:nvSpPr>
      <xdr:spPr>
        <a:xfrm>
          <a:off x="10111740" y="556260"/>
          <a:ext cx="1352550" cy="335280"/>
        </a:xfrm>
        <a:prstGeom prst="round2SameRect">
          <a:avLst/>
        </a:prstGeom>
        <a:solidFill>
          <a:srgbClr val="C0000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latin typeface="Archivo Condensed" pitchFamily="2" charset="0"/>
              <a:cs typeface="Archivo Condensed" pitchFamily="2" charset="0"/>
            </a:rPr>
            <a:t>Stores &amp; Categories</a:t>
          </a:r>
        </a:p>
      </xdr:txBody>
    </xdr:sp>
    <xdr:clientData/>
  </xdr:twoCellAnchor>
  <xdr:twoCellAnchor>
    <xdr:from>
      <xdr:col>12</xdr:col>
      <xdr:colOff>300990</xdr:colOff>
      <xdr:row>1</xdr:row>
      <xdr:rowOff>377190</xdr:rowOff>
    </xdr:from>
    <xdr:to>
      <xdr:col>14</xdr:col>
      <xdr:colOff>106680</xdr:colOff>
      <xdr:row>4</xdr:row>
      <xdr:rowOff>3810</xdr:rowOff>
    </xdr:to>
    <xdr:sp macro="" textlink="">
      <xdr:nvSpPr>
        <xdr:cNvPr id="46" name="Retângulo: Cantos Superiores Arredondados 45">
          <a:extLst>
            <a:ext uri="{FF2B5EF4-FFF2-40B4-BE49-F238E27FC236}">
              <a16:creationId xmlns:a16="http://schemas.microsoft.com/office/drawing/2014/main" id="{E55A515A-77FD-495D-98A6-F2129262E8D2}"/>
            </a:ext>
          </a:extLst>
        </xdr:cNvPr>
        <xdr:cNvSpPr/>
      </xdr:nvSpPr>
      <xdr:spPr>
        <a:xfrm>
          <a:off x="8862060" y="560070"/>
          <a:ext cx="1085850" cy="335280"/>
        </a:xfrm>
        <a:prstGeom prst="round2SameRect">
          <a:avLst/>
        </a:prstGeom>
        <a:solidFill>
          <a:srgbClr val="FFC72C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chemeClr val="tx1">
                  <a:lumMod val="95000"/>
                  <a:lumOff val="5000"/>
                </a:schemeClr>
              </a:solidFill>
              <a:latin typeface="Archivo Condensed" pitchFamily="2" charset="0"/>
              <a:cs typeface="Archivo Condensed" pitchFamily="2" charset="0"/>
            </a:rPr>
            <a:t>Region View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297180</xdr:colOff>
      <xdr:row>0</xdr:row>
      <xdr:rowOff>121920</xdr:rowOff>
    </xdr:from>
    <xdr:to>
      <xdr:col>0</xdr:col>
      <xdr:colOff>1220539</xdr:colOff>
      <xdr:row>2</xdr:row>
      <xdr:rowOff>30480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BED6CA92-A5F3-4369-B8BB-1704930CEC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7180" y="121920"/>
          <a:ext cx="923359" cy="56007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3</xdr:row>
      <xdr:rowOff>91440</xdr:rowOff>
    </xdr:from>
    <xdr:to>
      <xdr:col>18</xdr:col>
      <xdr:colOff>502920</xdr:colOff>
      <xdr:row>4</xdr:row>
      <xdr:rowOff>0</xdr:rowOff>
    </xdr:to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9036AC9E-7EA5-4C5F-A3C8-F00EE32710F3}"/>
            </a:ext>
          </a:extLst>
        </xdr:cNvPr>
        <xdr:cNvSpPr/>
      </xdr:nvSpPr>
      <xdr:spPr>
        <a:xfrm>
          <a:off x="0" y="800100"/>
          <a:ext cx="13456920" cy="91440"/>
        </a:xfrm>
        <a:prstGeom prst="rect">
          <a:avLst/>
        </a:prstGeom>
        <a:solidFill>
          <a:schemeClr val="bg1"/>
        </a:solidFill>
        <a:ln>
          <a:noFill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525780</xdr:colOff>
      <xdr:row>5</xdr:row>
      <xdr:rowOff>167640</xdr:rowOff>
    </xdr:from>
    <xdr:to>
      <xdr:col>8</xdr:col>
      <xdr:colOff>552608</xdr:colOff>
      <xdr:row>7</xdr:row>
      <xdr:rowOff>19760</xdr:rowOff>
    </xdr:to>
    <xdr:sp macro="" textlink="">
      <xdr:nvSpPr>
        <xdr:cNvPr id="33" name="CaixaDeTexto 32">
          <a:extLst>
            <a:ext uri="{FF2B5EF4-FFF2-40B4-BE49-F238E27FC236}">
              <a16:creationId xmlns:a16="http://schemas.microsoft.com/office/drawing/2014/main" id="{FE08A104-6BC2-4671-8311-831B66B298B7}"/>
            </a:ext>
          </a:extLst>
        </xdr:cNvPr>
        <xdr:cNvSpPr txBox="1"/>
      </xdr:nvSpPr>
      <xdr:spPr>
        <a:xfrm>
          <a:off x="2045970" y="1242060"/>
          <a:ext cx="4507388" cy="21788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ctr"/>
          <a:r>
            <a:rPr lang="en-US" sz="1100" b="1">
              <a:solidFill>
                <a:sysClr val="windowText" lastClr="000000"/>
              </a:solidFill>
              <a:latin typeface="Archivo Condensed" pitchFamily="2" charset="0"/>
              <a:cs typeface="Archivo Condensed" pitchFamily="2" charset="0"/>
            </a:rPr>
            <a:t>TOP 3 STORES</a:t>
          </a:r>
          <a:r>
            <a:rPr lang="en-US" sz="1100" b="1" baseline="0">
              <a:solidFill>
                <a:sysClr val="windowText" lastClr="000000"/>
              </a:solidFill>
              <a:latin typeface="Archivo Condensed" pitchFamily="2" charset="0"/>
              <a:cs typeface="Archivo Condensed" pitchFamily="2" charset="0"/>
            </a:rPr>
            <a:t> BASED ON GROSS PROFIT</a:t>
          </a:r>
          <a:endParaRPr lang="en-US" sz="1100" b="1">
            <a:solidFill>
              <a:sysClr val="windowText" lastClr="000000"/>
            </a:solidFill>
            <a:latin typeface="Archivo Condensed" pitchFamily="2" charset="0"/>
            <a:cs typeface="Archivo Condensed" pitchFamily="2" charset="0"/>
          </a:endParaRPr>
        </a:p>
      </xdr:txBody>
    </xdr:sp>
    <xdr:clientData/>
  </xdr:twoCellAnchor>
  <xdr:twoCellAnchor>
    <xdr:from>
      <xdr:col>1</xdr:col>
      <xdr:colOff>312420</xdr:colOff>
      <xdr:row>7</xdr:row>
      <xdr:rowOff>118111</xdr:rowOff>
    </xdr:from>
    <xdr:to>
      <xdr:col>3</xdr:col>
      <xdr:colOff>409509</xdr:colOff>
      <xdr:row>14</xdr:row>
      <xdr:rowOff>45720</xdr:rowOff>
    </xdr:to>
    <xdr:grpSp>
      <xdr:nvGrpSpPr>
        <xdr:cNvPr id="37" name="Agrupar 36">
          <a:extLst>
            <a:ext uri="{FF2B5EF4-FFF2-40B4-BE49-F238E27FC236}">
              <a16:creationId xmlns:a16="http://schemas.microsoft.com/office/drawing/2014/main" id="{7B7DD8F6-E47D-65FE-1AA4-770DF050899E}"/>
            </a:ext>
          </a:extLst>
        </xdr:cNvPr>
        <xdr:cNvGrpSpPr/>
      </xdr:nvGrpSpPr>
      <xdr:grpSpPr>
        <a:xfrm>
          <a:off x="1832610" y="1558291"/>
          <a:ext cx="1377249" cy="1207769"/>
          <a:chOff x="1832610" y="986791"/>
          <a:chExt cx="1377249" cy="1207769"/>
        </a:xfrm>
      </xdr:grpSpPr>
      <xdr:grpSp>
        <xdr:nvGrpSpPr>
          <xdr:cNvPr id="4" name="Agrupar 3">
            <a:extLst>
              <a:ext uri="{FF2B5EF4-FFF2-40B4-BE49-F238E27FC236}">
                <a16:creationId xmlns:a16="http://schemas.microsoft.com/office/drawing/2014/main" id="{73D3F28E-A82E-4A00-8082-BB63CBFA3C7F}"/>
              </a:ext>
            </a:extLst>
          </xdr:cNvPr>
          <xdr:cNvGrpSpPr/>
        </xdr:nvGrpSpPr>
        <xdr:grpSpPr>
          <a:xfrm>
            <a:off x="1832610" y="1066801"/>
            <a:ext cx="1377249" cy="1127759"/>
            <a:chOff x="2800350" y="1424940"/>
            <a:chExt cx="1558484" cy="1276163"/>
          </a:xfrm>
        </xdr:grpSpPr>
        <xdr:sp macro="" textlink="">
          <xdr:nvSpPr>
            <xdr:cNvPr id="5" name="Elipse 4">
              <a:extLst>
                <a:ext uri="{FF2B5EF4-FFF2-40B4-BE49-F238E27FC236}">
                  <a16:creationId xmlns:a16="http://schemas.microsoft.com/office/drawing/2014/main" id="{80A0F4F9-2DFD-4C63-36EF-974D7A55E843}"/>
                </a:ext>
              </a:extLst>
            </xdr:cNvPr>
            <xdr:cNvSpPr/>
          </xdr:nvSpPr>
          <xdr:spPr>
            <a:xfrm>
              <a:off x="2952961" y="1424940"/>
              <a:ext cx="1253262" cy="1276163"/>
            </a:xfrm>
            <a:prstGeom prst="ellipse">
              <a:avLst/>
            </a:prstGeom>
            <a:solidFill>
              <a:srgbClr val="FFFFFF"/>
            </a:solidFill>
            <a:ln w="76200">
              <a:solidFill>
                <a:srgbClr val="C00000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Calculation!AH7">
          <xdr:nvSpPr>
            <xdr:cNvPr id="6" name="Retângulo: Cantos Diagonais Arredondados 5">
              <a:extLst>
                <a:ext uri="{FF2B5EF4-FFF2-40B4-BE49-F238E27FC236}">
                  <a16:creationId xmlns:a16="http://schemas.microsoft.com/office/drawing/2014/main" id="{FC9E5903-AC9F-C4D9-2824-060C769AD933}"/>
                </a:ext>
              </a:extLst>
            </xdr:cNvPr>
            <xdr:cNvSpPr/>
          </xdr:nvSpPr>
          <xdr:spPr>
            <a:xfrm>
              <a:off x="2800350" y="2194782"/>
              <a:ext cx="1558484" cy="268418"/>
            </a:xfrm>
            <a:prstGeom prst="round2DiagRect">
              <a:avLst/>
            </a:prstGeom>
            <a:solidFill>
              <a:srgbClr val="FFC72C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F04E81B0-6880-4092-9AB9-2463BBE72BA9}" type="TxLink">
                <a:rPr lang="en-US" sz="1100" b="0" i="0" u="none" strike="noStrike">
                  <a:solidFill>
                    <a:srgbClr val="000000"/>
                  </a:solidFill>
                  <a:latin typeface="Archivo Condensed" pitchFamily="2" charset="0"/>
                  <a:cs typeface="Archivo Condensed" pitchFamily="2" charset="0"/>
                </a:rPr>
                <a:t>Cape Cod Mall</a:t>
              </a:fld>
              <a:endParaRPr lang="en-US" sz="1100" b="0">
                <a:solidFill>
                  <a:sysClr val="windowText" lastClr="000000"/>
                </a:solidFill>
                <a:latin typeface="Archivo Condensed" pitchFamily="2" charset="0"/>
                <a:cs typeface="Archivo Condensed" pitchFamily="2" charset="0"/>
              </a:endParaRPr>
            </a:p>
          </xdr:txBody>
        </xdr:sp>
        <xdr:sp macro="" textlink="Calculation!AI7">
          <xdr:nvSpPr>
            <xdr:cNvPr id="7" name="CaixaDeTexto 6">
              <a:extLst>
                <a:ext uri="{FF2B5EF4-FFF2-40B4-BE49-F238E27FC236}">
                  <a16:creationId xmlns:a16="http://schemas.microsoft.com/office/drawing/2014/main" id="{8E47425C-4526-CDBD-D04C-DE12B88B811D}"/>
                </a:ext>
              </a:extLst>
            </xdr:cNvPr>
            <xdr:cNvSpPr txBox="1"/>
          </xdr:nvSpPr>
          <xdr:spPr>
            <a:xfrm>
              <a:off x="3051957" y="1794078"/>
              <a:ext cx="1003534" cy="339054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fld id="{463B5892-6A0E-4E27-AC4E-6B334EC81A53}" type="TxLink">
                <a:rPr lang="en-US" sz="1400" b="1" i="0" u="none" strike="noStrike">
                  <a:solidFill>
                    <a:srgbClr val="000000"/>
                  </a:solidFill>
                  <a:latin typeface="Archivo Condensed" pitchFamily="2" charset="0"/>
                  <a:cs typeface="Archivo Condensed" pitchFamily="2" charset="0"/>
                </a:rPr>
                <a:t>$308.46</a:t>
              </a:fld>
              <a:endParaRPr lang="en-US" sz="1400" b="1">
                <a:latin typeface="Archivo Condensed" pitchFamily="2" charset="0"/>
                <a:cs typeface="Archivo Condensed" pitchFamily="2" charset="0"/>
              </a:endParaRPr>
            </a:p>
          </xdr:txBody>
        </xdr:sp>
      </xdr:grpSp>
      <xdr:sp macro="" textlink="">
        <xdr:nvSpPr>
          <xdr:cNvPr id="36" name="Retângulo: Cantos Diagonais Arredondados 35">
            <a:extLst>
              <a:ext uri="{FF2B5EF4-FFF2-40B4-BE49-F238E27FC236}">
                <a16:creationId xmlns:a16="http://schemas.microsoft.com/office/drawing/2014/main" id="{246B1162-5622-42CD-99DC-7ACD1B8C00CB}"/>
              </a:ext>
            </a:extLst>
          </xdr:cNvPr>
          <xdr:cNvSpPr/>
        </xdr:nvSpPr>
        <xdr:spPr>
          <a:xfrm>
            <a:off x="2091690" y="986791"/>
            <a:ext cx="834390" cy="237204"/>
          </a:xfrm>
          <a:prstGeom prst="round2DiagRect">
            <a:avLst/>
          </a:prstGeom>
          <a:solidFill>
            <a:srgbClr val="C00000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600" b="1" i="0" u="none" strike="noStrike">
                <a:solidFill>
                  <a:schemeClr val="bg1"/>
                </a:solidFill>
                <a:latin typeface="Archivo Condensed" pitchFamily="2" charset="0"/>
                <a:cs typeface="Archivo Condensed" pitchFamily="2" charset="0"/>
              </a:rPr>
              <a:t>TOP 1</a:t>
            </a:r>
          </a:p>
        </xdr:txBody>
      </xdr:sp>
    </xdr:grpSp>
    <xdr:clientData/>
  </xdr:twoCellAnchor>
  <xdr:twoCellAnchor>
    <xdr:from>
      <xdr:col>6</xdr:col>
      <xdr:colOff>617220</xdr:colOff>
      <xdr:row>7</xdr:row>
      <xdr:rowOff>118111</xdr:rowOff>
    </xdr:from>
    <xdr:to>
      <xdr:col>9</xdr:col>
      <xdr:colOff>74229</xdr:colOff>
      <xdr:row>14</xdr:row>
      <xdr:rowOff>45720</xdr:rowOff>
    </xdr:to>
    <xdr:grpSp>
      <xdr:nvGrpSpPr>
        <xdr:cNvPr id="38" name="Agrupar 37">
          <a:extLst>
            <a:ext uri="{FF2B5EF4-FFF2-40B4-BE49-F238E27FC236}">
              <a16:creationId xmlns:a16="http://schemas.microsoft.com/office/drawing/2014/main" id="{59A4D8BC-FCF9-40D8-86B8-C633F7FFDD95}"/>
            </a:ext>
          </a:extLst>
        </xdr:cNvPr>
        <xdr:cNvGrpSpPr/>
      </xdr:nvGrpSpPr>
      <xdr:grpSpPr>
        <a:xfrm>
          <a:off x="5337810" y="1558291"/>
          <a:ext cx="1377249" cy="1207769"/>
          <a:chOff x="1832610" y="986791"/>
          <a:chExt cx="1377249" cy="1207769"/>
        </a:xfrm>
      </xdr:grpSpPr>
      <xdr:grpSp>
        <xdr:nvGrpSpPr>
          <xdr:cNvPr id="39" name="Agrupar 38">
            <a:extLst>
              <a:ext uri="{FF2B5EF4-FFF2-40B4-BE49-F238E27FC236}">
                <a16:creationId xmlns:a16="http://schemas.microsoft.com/office/drawing/2014/main" id="{55A8384B-71AC-D44C-4B6D-F0C97C9F1F93}"/>
              </a:ext>
            </a:extLst>
          </xdr:cNvPr>
          <xdr:cNvGrpSpPr/>
        </xdr:nvGrpSpPr>
        <xdr:grpSpPr>
          <a:xfrm>
            <a:off x="1832610" y="1066801"/>
            <a:ext cx="1377249" cy="1127759"/>
            <a:chOff x="2800350" y="1424940"/>
            <a:chExt cx="1558484" cy="1276163"/>
          </a:xfrm>
        </xdr:grpSpPr>
        <xdr:sp macro="" textlink="">
          <xdr:nvSpPr>
            <xdr:cNvPr id="41" name="Elipse 40">
              <a:extLst>
                <a:ext uri="{FF2B5EF4-FFF2-40B4-BE49-F238E27FC236}">
                  <a16:creationId xmlns:a16="http://schemas.microsoft.com/office/drawing/2014/main" id="{7E336191-0FB4-98AB-0971-A985A3B2295E}"/>
                </a:ext>
              </a:extLst>
            </xdr:cNvPr>
            <xdr:cNvSpPr/>
          </xdr:nvSpPr>
          <xdr:spPr>
            <a:xfrm>
              <a:off x="2952961" y="1424940"/>
              <a:ext cx="1253262" cy="1276163"/>
            </a:xfrm>
            <a:prstGeom prst="ellipse">
              <a:avLst/>
            </a:prstGeom>
            <a:solidFill>
              <a:srgbClr val="FFFFFF"/>
            </a:solidFill>
            <a:ln w="76200">
              <a:solidFill>
                <a:srgbClr val="C00000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Calculation!AH9">
          <xdr:nvSpPr>
            <xdr:cNvPr id="42" name="Retângulo: Cantos Diagonais Arredondados 41">
              <a:extLst>
                <a:ext uri="{FF2B5EF4-FFF2-40B4-BE49-F238E27FC236}">
                  <a16:creationId xmlns:a16="http://schemas.microsoft.com/office/drawing/2014/main" id="{DF554EEF-3D10-8477-51ED-9BDF1B9B571E}"/>
                </a:ext>
              </a:extLst>
            </xdr:cNvPr>
            <xdr:cNvSpPr/>
          </xdr:nvSpPr>
          <xdr:spPr>
            <a:xfrm>
              <a:off x="2800350" y="2194782"/>
              <a:ext cx="1558484" cy="268418"/>
            </a:xfrm>
            <a:prstGeom prst="round2DiagRect">
              <a:avLst/>
            </a:prstGeom>
            <a:solidFill>
              <a:srgbClr val="FFC72C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4EC8F22D-41B8-4C44-9AC8-C734D9723E76}" type="TxLink">
                <a:rPr lang="en-US" sz="1100" b="0" i="0" u="none" strike="noStrike">
                  <a:solidFill>
                    <a:srgbClr val="000000"/>
                  </a:solidFill>
                  <a:latin typeface="Archivo Condensed" pitchFamily="2" charset="0"/>
                  <a:cs typeface="Archivo Condensed" pitchFamily="2" charset="0"/>
                </a:rPr>
                <a:t>Burlington Mall</a:t>
              </a:fld>
              <a:endParaRPr lang="en-US" sz="1100" b="0">
                <a:solidFill>
                  <a:sysClr val="windowText" lastClr="000000"/>
                </a:solidFill>
                <a:latin typeface="Archivo Condensed" pitchFamily="2" charset="0"/>
                <a:cs typeface="Archivo Condensed" pitchFamily="2" charset="0"/>
              </a:endParaRPr>
            </a:p>
          </xdr:txBody>
        </xdr:sp>
        <xdr:sp macro="" textlink="Calculation!AI9">
          <xdr:nvSpPr>
            <xdr:cNvPr id="43" name="CaixaDeTexto 42">
              <a:extLst>
                <a:ext uri="{FF2B5EF4-FFF2-40B4-BE49-F238E27FC236}">
                  <a16:creationId xmlns:a16="http://schemas.microsoft.com/office/drawing/2014/main" id="{6D1C5768-864A-C2AE-243F-B6A7C33683AB}"/>
                </a:ext>
              </a:extLst>
            </xdr:cNvPr>
            <xdr:cNvSpPr txBox="1"/>
          </xdr:nvSpPr>
          <xdr:spPr>
            <a:xfrm>
              <a:off x="3051957" y="1794078"/>
              <a:ext cx="1003534" cy="339054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fld id="{F438BB63-63C7-48F3-8F66-F1E44E3B9ADA}" type="TxLink">
                <a:rPr lang="en-US" sz="1400" b="1" i="0" u="none" strike="noStrike">
                  <a:solidFill>
                    <a:srgbClr val="000000"/>
                  </a:solidFill>
                  <a:latin typeface="Archivo Condensed" pitchFamily="2" charset="0"/>
                  <a:cs typeface="Archivo Condensed" pitchFamily="2" charset="0"/>
                </a:rPr>
                <a:t>$199.26</a:t>
              </a:fld>
              <a:endParaRPr lang="en-US" sz="1400" b="1">
                <a:latin typeface="Archivo Condensed" pitchFamily="2" charset="0"/>
                <a:cs typeface="Archivo Condensed" pitchFamily="2" charset="0"/>
              </a:endParaRPr>
            </a:p>
          </xdr:txBody>
        </xdr:sp>
      </xdr:grpSp>
      <xdr:sp macro="" textlink="">
        <xdr:nvSpPr>
          <xdr:cNvPr id="40" name="Retângulo: Cantos Diagonais Arredondados 39">
            <a:extLst>
              <a:ext uri="{FF2B5EF4-FFF2-40B4-BE49-F238E27FC236}">
                <a16:creationId xmlns:a16="http://schemas.microsoft.com/office/drawing/2014/main" id="{28D11A1F-B02B-3DDF-3131-EE72CBF5DE4D}"/>
              </a:ext>
            </a:extLst>
          </xdr:cNvPr>
          <xdr:cNvSpPr/>
        </xdr:nvSpPr>
        <xdr:spPr>
          <a:xfrm>
            <a:off x="2091690" y="986791"/>
            <a:ext cx="834390" cy="237204"/>
          </a:xfrm>
          <a:prstGeom prst="round2DiagRect">
            <a:avLst/>
          </a:prstGeom>
          <a:solidFill>
            <a:srgbClr val="C00000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600" b="1" i="0" u="none" strike="noStrike">
                <a:solidFill>
                  <a:schemeClr val="bg1"/>
                </a:solidFill>
                <a:latin typeface="Archivo Condensed" pitchFamily="2" charset="0"/>
                <a:cs typeface="Archivo Condensed" pitchFamily="2" charset="0"/>
              </a:rPr>
              <a:t>TOP 3</a:t>
            </a:r>
          </a:p>
        </xdr:txBody>
      </xdr:sp>
    </xdr:grpSp>
    <xdr:clientData/>
  </xdr:twoCellAnchor>
  <xdr:twoCellAnchor>
    <xdr:from>
      <xdr:col>4</xdr:col>
      <xdr:colOff>140970</xdr:colOff>
      <xdr:row>7</xdr:row>
      <xdr:rowOff>118111</xdr:rowOff>
    </xdr:from>
    <xdr:to>
      <xdr:col>6</xdr:col>
      <xdr:colOff>238059</xdr:colOff>
      <xdr:row>14</xdr:row>
      <xdr:rowOff>45720</xdr:rowOff>
    </xdr:to>
    <xdr:grpSp>
      <xdr:nvGrpSpPr>
        <xdr:cNvPr id="44" name="Agrupar 43">
          <a:extLst>
            <a:ext uri="{FF2B5EF4-FFF2-40B4-BE49-F238E27FC236}">
              <a16:creationId xmlns:a16="http://schemas.microsoft.com/office/drawing/2014/main" id="{6193692C-0325-486E-B7C5-6F6520C68148}"/>
            </a:ext>
          </a:extLst>
        </xdr:cNvPr>
        <xdr:cNvGrpSpPr/>
      </xdr:nvGrpSpPr>
      <xdr:grpSpPr>
        <a:xfrm>
          <a:off x="3581400" y="1558291"/>
          <a:ext cx="1377249" cy="1207769"/>
          <a:chOff x="1832610" y="986791"/>
          <a:chExt cx="1377249" cy="1207769"/>
        </a:xfrm>
      </xdr:grpSpPr>
      <xdr:grpSp>
        <xdr:nvGrpSpPr>
          <xdr:cNvPr id="45" name="Agrupar 44">
            <a:extLst>
              <a:ext uri="{FF2B5EF4-FFF2-40B4-BE49-F238E27FC236}">
                <a16:creationId xmlns:a16="http://schemas.microsoft.com/office/drawing/2014/main" id="{BA73EEEA-9A37-3A60-77A5-A9EB082E5DDC}"/>
              </a:ext>
            </a:extLst>
          </xdr:cNvPr>
          <xdr:cNvGrpSpPr/>
        </xdr:nvGrpSpPr>
        <xdr:grpSpPr>
          <a:xfrm>
            <a:off x="1832610" y="1066801"/>
            <a:ext cx="1377249" cy="1127759"/>
            <a:chOff x="2800350" y="1424940"/>
            <a:chExt cx="1558484" cy="1276163"/>
          </a:xfrm>
        </xdr:grpSpPr>
        <xdr:sp macro="" textlink="">
          <xdr:nvSpPr>
            <xdr:cNvPr id="47" name="Elipse 46">
              <a:extLst>
                <a:ext uri="{FF2B5EF4-FFF2-40B4-BE49-F238E27FC236}">
                  <a16:creationId xmlns:a16="http://schemas.microsoft.com/office/drawing/2014/main" id="{81066989-A6F7-90E6-B5B1-3ACC174B55D1}"/>
                </a:ext>
              </a:extLst>
            </xdr:cNvPr>
            <xdr:cNvSpPr/>
          </xdr:nvSpPr>
          <xdr:spPr>
            <a:xfrm>
              <a:off x="2952961" y="1424940"/>
              <a:ext cx="1253262" cy="1276163"/>
            </a:xfrm>
            <a:prstGeom prst="ellipse">
              <a:avLst/>
            </a:prstGeom>
            <a:solidFill>
              <a:srgbClr val="FFFFFF"/>
            </a:solidFill>
            <a:ln w="76200">
              <a:solidFill>
                <a:srgbClr val="C00000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Calculation!AH8">
          <xdr:nvSpPr>
            <xdr:cNvPr id="48" name="Retângulo: Cantos Diagonais Arredondados 47">
              <a:extLst>
                <a:ext uri="{FF2B5EF4-FFF2-40B4-BE49-F238E27FC236}">
                  <a16:creationId xmlns:a16="http://schemas.microsoft.com/office/drawing/2014/main" id="{FC8E48F0-DE25-B7EC-36C2-50C938C092B6}"/>
                </a:ext>
              </a:extLst>
            </xdr:cNvPr>
            <xdr:cNvSpPr/>
          </xdr:nvSpPr>
          <xdr:spPr>
            <a:xfrm>
              <a:off x="2800350" y="2194782"/>
              <a:ext cx="1558484" cy="268418"/>
            </a:xfrm>
            <a:prstGeom prst="round2DiagRect">
              <a:avLst/>
            </a:prstGeom>
            <a:solidFill>
              <a:srgbClr val="FFC72C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9DF7138B-DED6-48DC-BFEF-7AB286A9E622}" type="TxLink">
                <a:rPr lang="en-US" sz="1100" b="0" i="0" u="none" strike="noStrike">
                  <a:solidFill>
                    <a:srgbClr val="000000"/>
                  </a:solidFill>
                  <a:latin typeface="Archivo Condensed" pitchFamily="2" charset="0"/>
                  <a:cs typeface="Archivo Condensed" pitchFamily="2" charset="0"/>
                </a:rPr>
                <a:t>Downtown Boston</a:t>
              </a:fld>
              <a:endParaRPr lang="en-US" sz="1100" b="0">
                <a:solidFill>
                  <a:sysClr val="windowText" lastClr="000000"/>
                </a:solidFill>
                <a:latin typeface="Archivo Condensed" pitchFamily="2" charset="0"/>
                <a:cs typeface="Archivo Condensed" pitchFamily="2" charset="0"/>
              </a:endParaRPr>
            </a:p>
          </xdr:txBody>
        </xdr:sp>
        <xdr:sp macro="" textlink="Calculation!AI8">
          <xdr:nvSpPr>
            <xdr:cNvPr id="49" name="CaixaDeTexto 48">
              <a:extLst>
                <a:ext uri="{FF2B5EF4-FFF2-40B4-BE49-F238E27FC236}">
                  <a16:creationId xmlns:a16="http://schemas.microsoft.com/office/drawing/2014/main" id="{E6CE1970-F135-18A6-5B3D-76C48D4D91A8}"/>
                </a:ext>
              </a:extLst>
            </xdr:cNvPr>
            <xdr:cNvSpPr txBox="1"/>
          </xdr:nvSpPr>
          <xdr:spPr>
            <a:xfrm>
              <a:off x="3051957" y="1794078"/>
              <a:ext cx="1003534" cy="339054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fld id="{C12214D7-9107-4FD2-88EC-7F54C39B9172}" type="TxLink">
                <a:rPr lang="en-US" sz="1400" b="1" i="0" u="none" strike="noStrike">
                  <a:solidFill>
                    <a:srgbClr val="000000"/>
                  </a:solidFill>
                  <a:latin typeface="Archivo Condensed" pitchFamily="2" charset="0"/>
                  <a:cs typeface="Archivo Condensed" pitchFamily="2" charset="0"/>
                </a:rPr>
                <a:t>$210.45</a:t>
              </a:fld>
              <a:endParaRPr lang="en-US" sz="1400" b="1">
                <a:latin typeface="Archivo Condensed" pitchFamily="2" charset="0"/>
                <a:cs typeface="Archivo Condensed" pitchFamily="2" charset="0"/>
              </a:endParaRPr>
            </a:p>
          </xdr:txBody>
        </xdr:sp>
      </xdr:grpSp>
      <xdr:sp macro="" textlink="">
        <xdr:nvSpPr>
          <xdr:cNvPr id="46" name="Retângulo: Cantos Diagonais Arredondados 45">
            <a:extLst>
              <a:ext uri="{FF2B5EF4-FFF2-40B4-BE49-F238E27FC236}">
                <a16:creationId xmlns:a16="http://schemas.microsoft.com/office/drawing/2014/main" id="{7ACD9EB7-2302-EAB1-83DF-2D8B3D076A89}"/>
              </a:ext>
            </a:extLst>
          </xdr:cNvPr>
          <xdr:cNvSpPr/>
        </xdr:nvSpPr>
        <xdr:spPr>
          <a:xfrm>
            <a:off x="2091690" y="986791"/>
            <a:ext cx="834390" cy="237204"/>
          </a:xfrm>
          <a:prstGeom prst="round2DiagRect">
            <a:avLst/>
          </a:prstGeom>
          <a:solidFill>
            <a:srgbClr val="C00000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600" b="1" i="0" u="none" strike="noStrike">
                <a:solidFill>
                  <a:schemeClr val="bg1"/>
                </a:solidFill>
                <a:latin typeface="Archivo Condensed" pitchFamily="2" charset="0"/>
                <a:cs typeface="Archivo Condensed" pitchFamily="2" charset="0"/>
              </a:rPr>
              <a:t>TOP 2</a:t>
            </a:r>
          </a:p>
        </xdr:txBody>
      </xdr:sp>
    </xdr:grpSp>
    <xdr:clientData/>
  </xdr:twoCellAnchor>
  <xdr:twoCellAnchor>
    <xdr:from>
      <xdr:col>13</xdr:col>
      <xdr:colOff>472440</xdr:colOff>
      <xdr:row>7</xdr:row>
      <xdr:rowOff>118111</xdr:rowOff>
    </xdr:from>
    <xdr:to>
      <xdr:col>14</xdr:col>
      <xdr:colOff>1251519</xdr:colOff>
      <xdr:row>14</xdr:row>
      <xdr:rowOff>45720</xdr:rowOff>
    </xdr:to>
    <xdr:grpSp>
      <xdr:nvGrpSpPr>
        <xdr:cNvPr id="50" name="Agrupar 49">
          <a:extLst>
            <a:ext uri="{FF2B5EF4-FFF2-40B4-BE49-F238E27FC236}">
              <a16:creationId xmlns:a16="http://schemas.microsoft.com/office/drawing/2014/main" id="{9D1283E0-DF4D-4DD9-8FF6-93D92670B2A3}"/>
            </a:ext>
          </a:extLst>
        </xdr:cNvPr>
        <xdr:cNvGrpSpPr/>
      </xdr:nvGrpSpPr>
      <xdr:grpSpPr>
        <a:xfrm>
          <a:off x="9673590" y="1558291"/>
          <a:ext cx="1377249" cy="1207769"/>
          <a:chOff x="1832610" y="986791"/>
          <a:chExt cx="1377249" cy="1207769"/>
        </a:xfrm>
      </xdr:grpSpPr>
      <xdr:grpSp>
        <xdr:nvGrpSpPr>
          <xdr:cNvPr id="51" name="Agrupar 50">
            <a:extLst>
              <a:ext uri="{FF2B5EF4-FFF2-40B4-BE49-F238E27FC236}">
                <a16:creationId xmlns:a16="http://schemas.microsoft.com/office/drawing/2014/main" id="{1939EBC6-3A18-5025-9D6C-599099ECF97D}"/>
              </a:ext>
            </a:extLst>
          </xdr:cNvPr>
          <xdr:cNvGrpSpPr/>
        </xdr:nvGrpSpPr>
        <xdr:grpSpPr>
          <a:xfrm>
            <a:off x="1832610" y="1066801"/>
            <a:ext cx="1377249" cy="1127759"/>
            <a:chOff x="2800350" y="1424940"/>
            <a:chExt cx="1558484" cy="1276163"/>
          </a:xfrm>
        </xdr:grpSpPr>
        <xdr:sp macro="" textlink="">
          <xdr:nvSpPr>
            <xdr:cNvPr id="53" name="Elipse 52">
              <a:extLst>
                <a:ext uri="{FF2B5EF4-FFF2-40B4-BE49-F238E27FC236}">
                  <a16:creationId xmlns:a16="http://schemas.microsoft.com/office/drawing/2014/main" id="{B36D2524-A4BF-882E-4C1F-0282E54DFE9D}"/>
                </a:ext>
              </a:extLst>
            </xdr:cNvPr>
            <xdr:cNvSpPr/>
          </xdr:nvSpPr>
          <xdr:spPr>
            <a:xfrm>
              <a:off x="2952961" y="1424940"/>
              <a:ext cx="1253262" cy="1276163"/>
            </a:xfrm>
            <a:prstGeom prst="ellipse">
              <a:avLst/>
            </a:prstGeom>
            <a:solidFill>
              <a:srgbClr val="FFFFFF"/>
            </a:solidFill>
            <a:ln w="76200">
              <a:solidFill>
                <a:srgbClr val="C00000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Calculation!AN8">
          <xdr:nvSpPr>
            <xdr:cNvPr id="54" name="Retângulo: Cantos Diagonais Arredondados 53">
              <a:extLst>
                <a:ext uri="{FF2B5EF4-FFF2-40B4-BE49-F238E27FC236}">
                  <a16:creationId xmlns:a16="http://schemas.microsoft.com/office/drawing/2014/main" id="{8DE1DA1C-832C-2BA4-4882-F500A5A6A056}"/>
                </a:ext>
              </a:extLst>
            </xdr:cNvPr>
            <xdr:cNvSpPr/>
          </xdr:nvSpPr>
          <xdr:spPr>
            <a:xfrm>
              <a:off x="2800350" y="2194782"/>
              <a:ext cx="1558484" cy="268418"/>
            </a:xfrm>
            <a:prstGeom prst="round2DiagRect">
              <a:avLst/>
            </a:prstGeom>
            <a:solidFill>
              <a:srgbClr val="FFC72C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0AC0F3A9-F087-468D-A7FA-10D8D60B2AEF}" type="TxLink">
                <a:rPr lang="en-US" sz="1100" b="0" i="0" u="none" strike="noStrike">
                  <a:solidFill>
                    <a:srgbClr val="000000"/>
                  </a:solidFill>
                  <a:latin typeface="Archivo Condensed" pitchFamily="2" charset="0"/>
                  <a:cs typeface="Archivo Condensed" pitchFamily="2" charset="0"/>
                </a:rPr>
                <a:t>Burgers</a:t>
              </a:fld>
              <a:endParaRPr lang="en-US" sz="1100" b="0">
                <a:solidFill>
                  <a:sysClr val="windowText" lastClr="000000"/>
                </a:solidFill>
                <a:latin typeface="Archivo Condensed" pitchFamily="2" charset="0"/>
                <a:cs typeface="Archivo Condensed" pitchFamily="2" charset="0"/>
              </a:endParaRPr>
            </a:p>
          </xdr:txBody>
        </xdr:sp>
        <xdr:sp macro="" textlink="Calculation!AO8">
          <xdr:nvSpPr>
            <xdr:cNvPr id="55" name="CaixaDeTexto 54">
              <a:extLst>
                <a:ext uri="{FF2B5EF4-FFF2-40B4-BE49-F238E27FC236}">
                  <a16:creationId xmlns:a16="http://schemas.microsoft.com/office/drawing/2014/main" id="{93598CEE-3903-7EF9-16E7-61C8FBF2B05C}"/>
                </a:ext>
              </a:extLst>
            </xdr:cNvPr>
            <xdr:cNvSpPr txBox="1"/>
          </xdr:nvSpPr>
          <xdr:spPr>
            <a:xfrm>
              <a:off x="3051957" y="1794078"/>
              <a:ext cx="1003534" cy="339054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fld id="{682F8CEB-A450-48B1-A03B-BED41BE07B07}" type="TxLink">
                <a:rPr lang="en-US" sz="1400" b="1" i="0" u="none" strike="noStrike">
                  <a:solidFill>
                    <a:srgbClr val="000000"/>
                  </a:solidFill>
                  <a:latin typeface="Archivo Condensed" pitchFamily="2" charset="0"/>
                  <a:cs typeface="Archivo Condensed" pitchFamily="2" charset="0"/>
                </a:rPr>
                <a:t>$329.49</a:t>
              </a:fld>
              <a:endParaRPr lang="en-US" sz="1400" b="1">
                <a:latin typeface="Archivo Condensed" pitchFamily="2" charset="0"/>
                <a:cs typeface="Archivo Condensed" pitchFamily="2" charset="0"/>
              </a:endParaRPr>
            </a:p>
          </xdr:txBody>
        </xdr:sp>
      </xdr:grpSp>
      <xdr:sp macro="" textlink="">
        <xdr:nvSpPr>
          <xdr:cNvPr id="52" name="Retângulo: Cantos Diagonais Arredondados 51">
            <a:extLst>
              <a:ext uri="{FF2B5EF4-FFF2-40B4-BE49-F238E27FC236}">
                <a16:creationId xmlns:a16="http://schemas.microsoft.com/office/drawing/2014/main" id="{E24C2CC5-6B9B-73BF-6BB0-FEBF4336F120}"/>
              </a:ext>
            </a:extLst>
          </xdr:cNvPr>
          <xdr:cNvSpPr/>
        </xdr:nvSpPr>
        <xdr:spPr>
          <a:xfrm>
            <a:off x="2091690" y="986791"/>
            <a:ext cx="834390" cy="237204"/>
          </a:xfrm>
          <a:prstGeom prst="round2DiagRect">
            <a:avLst/>
          </a:prstGeom>
          <a:solidFill>
            <a:srgbClr val="C00000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600" b="1" i="0" u="none" strike="noStrike">
                <a:solidFill>
                  <a:schemeClr val="bg1"/>
                </a:solidFill>
                <a:latin typeface="Archivo Condensed" pitchFamily="2" charset="0"/>
                <a:cs typeface="Archivo Condensed" pitchFamily="2" charset="0"/>
              </a:rPr>
              <a:t>TOP 2</a:t>
            </a:r>
          </a:p>
        </xdr:txBody>
      </xdr:sp>
    </xdr:grpSp>
    <xdr:clientData/>
  </xdr:twoCellAnchor>
  <xdr:twoCellAnchor>
    <xdr:from>
      <xdr:col>10</xdr:col>
      <xdr:colOff>613410</xdr:colOff>
      <xdr:row>7</xdr:row>
      <xdr:rowOff>118111</xdr:rowOff>
    </xdr:from>
    <xdr:to>
      <xdr:col>13</xdr:col>
      <xdr:colOff>70419</xdr:colOff>
      <xdr:row>14</xdr:row>
      <xdr:rowOff>45720</xdr:rowOff>
    </xdr:to>
    <xdr:grpSp>
      <xdr:nvGrpSpPr>
        <xdr:cNvPr id="56" name="Agrupar 55">
          <a:extLst>
            <a:ext uri="{FF2B5EF4-FFF2-40B4-BE49-F238E27FC236}">
              <a16:creationId xmlns:a16="http://schemas.microsoft.com/office/drawing/2014/main" id="{E1D4D6F8-44BE-4356-9C15-3D88685C39B8}"/>
            </a:ext>
          </a:extLst>
        </xdr:cNvPr>
        <xdr:cNvGrpSpPr/>
      </xdr:nvGrpSpPr>
      <xdr:grpSpPr>
        <a:xfrm>
          <a:off x="7894320" y="1558291"/>
          <a:ext cx="1377249" cy="1207769"/>
          <a:chOff x="1832610" y="986791"/>
          <a:chExt cx="1377249" cy="1207769"/>
        </a:xfrm>
      </xdr:grpSpPr>
      <xdr:grpSp>
        <xdr:nvGrpSpPr>
          <xdr:cNvPr id="57" name="Agrupar 56">
            <a:extLst>
              <a:ext uri="{FF2B5EF4-FFF2-40B4-BE49-F238E27FC236}">
                <a16:creationId xmlns:a16="http://schemas.microsoft.com/office/drawing/2014/main" id="{25DBC225-F335-F656-05AC-38D0DB9E2ECD}"/>
              </a:ext>
            </a:extLst>
          </xdr:cNvPr>
          <xdr:cNvGrpSpPr/>
        </xdr:nvGrpSpPr>
        <xdr:grpSpPr>
          <a:xfrm>
            <a:off x="1832610" y="1066801"/>
            <a:ext cx="1377249" cy="1127759"/>
            <a:chOff x="2800350" y="1424940"/>
            <a:chExt cx="1558484" cy="1276163"/>
          </a:xfrm>
        </xdr:grpSpPr>
        <xdr:sp macro="" textlink="">
          <xdr:nvSpPr>
            <xdr:cNvPr id="59" name="Elipse 58">
              <a:extLst>
                <a:ext uri="{FF2B5EF4-FFF2-40B4-BE49-F238E27FC236}">
                  <a16:creationId xmlns:a16="http://schemas.microsoft.com/office/drawing/2014/main" id="{EBD1D4FD-3F65-D3D9-A80A-2A61067C3A32}"/>
                </a:ext>
              </a:extLst>
            </xdr:cNvPr>
            <xdr:cNvSpPr/>
          </xdr:nvSpPr>
          <xdr:spPr>
            <a:xfrm>
              <a:off x="2952961" y="1424940"/>
              <a:ext cx="1253262" cy="1276163"/>
            </a:xfrm>
            <a:prstGeom prst="ellipse">
              <a:avLst/>
            </a:prstGeom>
            <a:solidFill>
              <a:srgbClr val="FFFFFF"/>
            </a:solidFill>
            <a:ln w="76200">
              <a:solidFill>
                <a:srgbClr val="C00000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Calculation!AN7">
          <xdr:nvSpPr>
            <xdr:cNvPr id="60" name="Retângulo: Cantos Diagonais Arredondados 59">
              <a:extLst>
                <a:ext uri="{FF2B5EF4-FFF2-40B4-BE49-F238E27FC236}">
                  <a16:creationId xmlns:a16="http://schemas.microsoft.com/office/drawing/2014/main" id="{EDBDF5C2-0DB2-5D97-62B5-5540B89F93EB}"/>
                </a:ext>
              </a:extLst>
            </xdr:cNvPr>
            <xdr:cNvSpPr/>
          </xdr:nvSpPr>
          <xdr:spPr>
            <a:xfrm>
              <a:off x="2800350" y="2194782"/>
              <a:ext cx="1558484" cy="268418"/>
            </a:xfrm>
            <a:prstGeom prst="round2DiagRect">
              <a:avLst/>
            </a:prstGeom>
            <a:solidFill>
              <a:srgbClr val="FFC72C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8E0269DE-DF5F-422B-8943-01B9E05DF069}" type="TxLink">
                <a:rPr lang="en-US" sz="1100" b="0" i="0" u="none" strike="noStrike">
                  <a:solidFill>
                    <a:srgbClr val="000000"/>
                  </a:solidFill>
                  <a:latin typeface="Archivo Condensed" pitchFamily="2" charset="0"/>
                  <a:cs typeface="Archivo Condensed" pitchFamily="2" charset="0"/>
                </a:rPr>
                <a:t>Combo Meals</a:t>
              </a:fld>
              <a:endParaRPr lang="en-US" sz="1100" b="0">
                <a:solidFill>
                  <a:sysClr val="windowText" lastClr="000000"/>
                </a:solidFill>
                <a:latin typeface="Archivo Condensed" pitchFamily="2" charset="0"/>
                <a:cs typeface="Archivo Condensed" pitchFamily="2" charset="0"/>
              </a:endParaRPr>
            </a:p>
          </xdr:txBody>
        </xdr:sp>
        <xdr:sp macro="" textlink="Calculation!AO7">
          <xdr:nvSpPr>
            <xdr:cNvPr id="61" name="CaixaDeTexto 60">
              <a:extLst>
                <a:ext uri="{FF2B5EF4-FFF2-40B4-BE49-F238E27FC236}">
                  <a16:creationId xmlns:a16="http://schemas.microsoft.com/office/drawing/2014/main" id="{D534AD63-64E9-7F47-9007-9F59ED0EB41F}"/>
                </a:ext>
              </a:extLst>
            </xdr:cNvPr>
            <xdr:cNvSpPr txBox="1"/>
          </xdr:nvSpPr>
          <xdr:spPr>
            <a:xfrm>
              <a:off x="3051957" y="1794078"/>
              <a:ext cx="1003534" cy="339054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fld id="{84AA37C8-0CE3-4BF3-924D-01CCD8E1D3BA}" type="TxLink">
                <a:rPr lang="en-US" sz="1400" b="1" i="0" u="none" strike="noStrike">
                  <a:solidFill>
                    <a:srgbClr val="000000"/>
                  </a:solidFill>
                  <a:latin typeface="Archivo Condensed" pitchFamily="2" charset="0"/>
                  <a:cs typeface="Archivo Condensed" pitchFamily="2" charset="0"/>
                </a:rPr>
                <a:t>$688.06</a:t>
              </a:fld>
              <a:endParaRPr lang="en-US" sz="1400" b="1">
                <a:latin typeface="Archivo Condensed" pitchFamily="2" charset="0"/>
                <a:cs typeface="Archivo Condensed" pitchFamily="2" charset="0"/>
              </a:endParaRPr>
            </a:p>
          </xdr:txBody>
        </xdr:sp>
      </xdr:grpSp>
      <xdr:sp macro="" textlink="">
        <xdr:nvSpPr>
          <xdr:cNvPr id="58" name="Retângulo: Cantos Diagonais Arredondados 57">
            <a:extLst>
              <a:ext uri="{FF2B5EF4-FFF2-40B4-BE49-F238E27FC236}">
                <a16:creationId xmlns:a16="http://schemas.microsoft.com/office/drawing/2014/main" id="{6C97D03C-0C10-0FA4-D7A4-18B203D7FBE3}"/>
              </a:ext>
            </a:extLst>
          </xdr:cNvPr>
          <xdr:cNvSpPr/>
        </xdr:nvSpPr>
        <xdr:spPr>
          <a:xfrm>
            <a:off x="2091690" y="986791"/>
            <a:ext cx="834390" cy="237204"/>
          </a:xfrm>
          <a:prstGeom prst="round2DiagRect">
            <a:avLst/>
          </a:prstGeom>
          <a:solidFill>
            <a:srgbClr val="C00000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600" b="1" i="0" u="none" strike="noStrike">
                <a:solidFill>
                  <a:schemeClr val="bg1"/>
                </a:solidFill>
                <a:latin typeface="Archivo Condensed" pitchFamily="2" charset="0"/>
                <a:cs typeface="Archivo Condensed" pitchFamily="2" charset="0"/>
              </a:rPr>
              <a:t>TOP 1</a:t>
            </a:r>
          </a:p>
        </xdr:txBody>
      </xdr:sp>
    </xdr:grpSp>
    <xdr:clientData/>
  </xdr:twoCellAnchor>
  <xdr:twoCellAnchor>
    <xdr:from>
      <xdr:col>9</xdr:col>
      <xdr:colOff>525780</xdr:colOff>
      <xdr:row>5</xdr:row>
      <xdr:rowOff>167640</xdr:rowOff>
    </xdr:from>
    <xdr:to>
      <xdr:col>16</xdr:col>
      <xdr:colOff>384968</xdr:colOff>
      <xdr:row>7</xdr:row>
      <xdr:rowOff>19760</xdr:rowOff>
    </xdr:to>
    <xdr:sp macro="" textlink="">
      <xdr:nvSpPr>
        <xdr:cNvPr id="62" name="CaixaDeTexto 61">
          <a:extLst>
            <a:ext uri="{FF2B5EF4-FFF2-40B4-BE49-F238E27FC236}">
              <a16:creationId xmlns:a16="http://schemas.microsoft.com/office/drawing/2014/main" id="{F1701A47-0F85-4187-B89C-5BCFBAC4BAC0}"/>
            </a:ext>
          </a:extLst>
        </xdr:cNvPr>
        <xdr:cNvSpPr txBox="1"/>
      </xdr:nvSpPr>
      <xdr:spPr>
        <a:xfrm>
          <a:off x="7166610" y="1242060"/>
          <a:ext cx="4507388" cy="21788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ctr"/>
          <a:r>
            <a:rPr lang="en-US" sz="1100" b="1">
              <a:solidFill>
                <a:sysClr val="windowText" lastClr="000000"/>
              </a:solidFill>
              <a:latin typeface="Archivo Condensed" pitchFamily="2" charset="0"/>
              <a:cs typeface="Archivo Condensed" pitchFamily="2" charset="0"/>
            </a:rPr>
            <a:t>TOP 2 CATEGORIES</a:t>
          </a:r>
          <a:r>
            <a:rPr lang="en-US" sz="1100" b="1" baseline="0">
              <a:solidFill>
                <a:sysClr val="windowText" lastClr="000000"/>
              </a:solidFill>
              <a:latin typeface="Archivo Condensed" pitchFamily="2" charset="0"/>
              <a:cs typeface="Archivo Condensed" pitchFamily="2" charset="0"/>
            </a:rPr>
            <a:t> BASED ON GROSS PROFIT</a:t>
          </a:r>
          <a:endParaRPr lang="en-US" sz="1100" b="1">
            <a:solidFill>
              <a:sysClr val="windowText" lastClr="000000"/>
            </a:solidFill>
            <a:latin typeface="Archivo Condensed" pitchFamily="2" charset="0"/>
            <a:cs typeface="Archivo Condensed" pitchFamily="2" charset="0"/>
          </a:endParaRPr>
        </a:p>
      </xdr:txBody>
    </xdr:sp>
    <xdr:clientData/>
  </xdr:twoCellAnchor>
  <xdr:twoCellAnchor>
    <xdr:from>
      <xdr:col>1</xdr:col>
      <xdr:colOff>133350</xdr:colOff>
      <xdr:row>18</xdr:row>
      <xdr:rowOff>152400</xdr:rowOff>
    </xdr:from>
    <xdr:to>
      <xdr:col>5</xdr:col>
      <xdr:colOff>499110</xdr:colOff>
      <xdr:row>28</xdr:row>
      <xdr:rowOff>102870</xdr:rowOff>
    </xdr:to>
    <xdr:graphicFrame macro="">
      <xdr:nvGraphicFramePr>
        <xdr:cNvPr id="63" name="Gráfico 62">
          <a:extLst>
            <a:ext uri="{FF2B5EF4-FFF2-40B4-BE49-F238E27FC236}">
              <a16:creationId xmlns:a16="http://schemas.microsoft.com/office/drawing/2014/main" id="{695799DC-F72C-42D3-A5F7-E8532200C31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26670</xdr:colOff>
      <xdr:row>18</xdr:row>
      <xdr:rowOff>95250</xdr:rowOff>
    </xdr:from>
    <xdr:to>
      <xdr:col>10</xdr:col>
      <xdr:colOff>579120</xdr:colOff>
      <xdr:row>28</xdr:row>
      <xdr:rowOff>102870</xdr:rowOff>
    </xdr:to>
    <xdr:graphicFrame macro="">
      <xdr:nvGraphicFramePr>
        <xdr:cNvPr id="64" name="Gráfico 63">
          <a:extLst>
            <a:ext uri="{FF2B5EF4-FFF2-40B4-BE49-F238E27FC236}">
              <a16:creationId xmlns:a16="http://schemas.microsoft.com/office/drawing/2014/main" id="{185718CD-1653-4B1B-8A61-4EB923FF0EC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487616</xdr:colOff>
      <xdr:row>18</xdr:row>
      <xdr:rowOff>68580</xdr:rowOff>
    </xdr:from>
    <xdr:to>
      <xdr:col>15</xdr:col>
      <xdr:colOff>95250</xdr:colOff>
      <xdr:row>28</xdr:row>
      <xdr:rowOff>60959</xdr:rowOff>
    </xdr:to>
    <xdr:grpSp>
      <xdr:nvGrpSpPr>
        <xdr:cNvPr id="67" name="Agrupar 66">
          <a:extLst>
            <a:ext uri="{FF2B5EF4-FFF2-40B4-BE49-F238E27FC236}">
              <a16:creationId xmlns:a16="http://schemas.microsoft.com/office/drawing/2014/main" id="{653C19D6-02FB-3523-5495-20E94B2009F7}"/>
            </a:ext>
          </a:extLst>
        </xdr:cNvPr>
        <xdr:cNvGrpSpPr/>
      </xdr:nvGrpSpPr>
      <xdr:grpSpPr>
        <a:xfrm>
          <a:off x="7768526" y="3520440"/>
          <a:ext cx="3505264" cy="1821179"/>
          <a:chOff x="7768526" y="3025140"/>
          <a:chExt cx="3505264" cy="1821179"/>
        </a:xfrm>
      </xdr:grpSpPr>
      <xdr:graphicFrame macro="">
        <xdr:nvGraphicFramePr>
          <xdr:cNvPr id="65" name="Gráfico 64">
            <a:extLst>
              <a:ext uri="{FF2B5EF4-FFF2-40B4-BE49-F238E27FC236}">
                <a16:creationId xmlns:a16="http://schemas.microsoft.com/office/drawing/2014/main" id="{5CDE63FF-18A3-4ABA-AC74-D7F125DF3BA9}"/>
              </a:ext>
            </a:extLst>
          </xdr:cNvPr>
          <xdr:cNvGraphicFramePr>
            <a:graphicFrameLocks/>
          </xdr:cNvGraphicFramePr>
        </xdr:nvGraphicFramePr>
        <xdr:xfrm>
          <a:off x="8682990" y="3025140"/>
          <a:ext cx="2590800" cy="1821179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4"/>
          </a:graphicData>
        </a:graphic>
      </xdr:graphicFrame>
      <xdr:sp macro="" textlink="">
        <xdr:nvSpPr>
          <xdr:cNvPr id="66" name="CaixaDeTexto 65">
            <a:extLst>
              <a:ext uri="{FF2B5EF4-FFF2-40B4-BE49-F238E27FC236}">
                <a16:creationId xmlns:a16="http://schemas.microsoft.com/office/drawing/2014/main" id="{33284AF0-2BB7-1370-3B66-6A5EEA36D3AA}"/>
              </a:ext>
            </a:extLst>
          </xdr:cNvPr>
          <xdr:cNvSpPr txBox="1"/>
        </xdr:nvSpPr>
        <xdr:spPr>
          <a:xfrm>
            <a:off x="7768526" y="3177540"/>
            <a:ext cx="1065099" cy="152817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pPr algn="r"/>
            <a:r>
              <a:rPr lang="en-US" sz="1000"/>
              <a:t>⭐⭐⭐⭐⭐</a:t>
            </a:r>
          </a:p>
          <a:p>
            <a:pPr algn="r"/>
            <a:br>
              <a:rPr lang="en-US" sz="900"/>
            </a:br>
            <a:r>
              <a:rPr lang="en-US" sz="1000"/>
              <a:t>⭐⭐⭐⭐</a:t>
            </a:r>
          </a:p>
          <a:p>
            <a:pPr algn="r"/>
            <a:endParaRPr lang="en-US" sz="900"/>
          </a:p>
          <a:p>
            <a:pPr algn="r"/>
            <a:r>
              <a:rPr lang="en-US" sz="1000"/>
              <a:t>⭐⭐⭐</a:t>
            </a:r>
          </a:p>
          <a:p>
            <a:pPr algn="r"/>
            <a:endParaRPr lang="en-US" sz="900"/>
          </a:p>
          <a:p>
            <a:pPr algn="r"/>
            <a:r>
              <a:rPr lang="en-US" sz="1000"/>
              <a:t>⭐⭐</a:t>
            </a:r>
          </a:p>
          <a:p>
            <a:pPr algn="r"/>
            <a:endParaRPr lang="en-US" sz="900"/>
          </a:p>
          <a:p>
            <a:pPr algn="r"/>
            <a:r>
              <a:rPr lang="en-US" sz="1000"/>
              <a:t>⭐</a:t>
            </a:r>
          </a:p>
        </xdr:txBody>
      </xdr:sp>
    </xdr:grpSp>
    <xdr:clientData/>
  </xdr:twoCellAnchor>
  <xdr:twoCellAnchor editAs="oneCell">
    <xdr:from>
      <xdr:col>0</xdr:col>
      <xdr:colOff>34290</xdr:colOff>
      <xdr:row>4</xdr:row>
      <xdr:rowOff>114300</xdr:rowOff>
    </xdr:from>
    <xdr:to>
      <xdr:col>0</xdr:col>
      <xdr:colOff>1447800</xdr:colOff>
      <xdr:row>24</xdr:row>
      <xdr:rowOff>68580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68" name="Store_Name">
              <a:extLst>
                <a:ext uri="{FF2B5EF4-FFF2-40B4-BE49-F238E27FC236}">
                  <a16:creationId xmlns:a16="http://schemas.microsoft.com/office/drawing/2014/main" id="{4C99CD16-9C7B-4F92-8DA3-5BBC185CAA2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tore_Name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4290" y="1005840"/>
              <a:ext cx="1413510" cy="361188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16</xdr:col>
      <xdr:colOff>49530</xdr:colOff>
      <xdr:row>4</xdr:row>
      <xdr:rowOff>129540</xdr:rowOff>
    </xdr:from>
    <xdr:to>
      <xdr:col>17</xdr:col>
      <xdr:colOff>636270</xdr:colOff>
      <xdr:row>19</xdr:row>
      <xdr:rowOff>24765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69" name="Category">
              <a:extLst>
                <a:ext uri="{FF2B5EF4-FFF2-40B4-BE49-F238E27FC236}">
                  <a16:creationId xmlns:a16="http://schemas.microsoft.com/office/drawing/2014/main" id="{2E7B5894-EBD0-4275-B017-5CFBC012251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ategory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338560" y="1021080"/>
              <a:ext cx="1581150" cy="2638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14</xdr:col>
      <xdr:colOff>34290</xdr:colOff>
      <xdr:row>1</xdr:row>
      <xdr:rowOff>373380</xdr:rowOff>
    </xdr:from>
    <xdr:to>
      <xdr:col>15</xdr:col>
      <xdr:colOff>7620</xdr:colOff>
      <xdr:row>4</xdr:row>
      <xdr:rowOff>0</xdr:rowOff>
    </xdr:to>
    <xdr:sp macro="" textlink="">
      <xdr:nvSpPr>
        <xdr:cNvPr id="70" name="Retângulo: Cantos Superiores Arredondados 69">
          <a:extLst>
            <a:ext uri="{FF2B5EF4-FFF2-40B4-BE49-F238E27FC236}">
              <a16:creationId xmlns:a16="http://schemas.microsoft.com/office/drawing/2014/main" id="{6333E4EE-532C-45A8-B713-6256AD516DE6}"/>
            </a:ext>
          </a:extLst>
        </xdr:cNvPr>
        <xdr:cNvSpPr/>
      </xdr:nvSpPr>
      <xdr:spPr>
        <a:xfrm>
          <a:off x="9833610" y="556260"/>
          <a:ext cx="1352550" cy="335280"/>
        </a:xfrm>
        <a:prstGeom prst="round2SameRect">
          <a:avLst/>
        </a:prstGeom>
        <a:solidFill>
          <a:srgbClr val="FFC72C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chemeClr val="tx1"/>
              </a:solidFill>
              <a:latin typeface="Archivo Condensed" pitchFamily="2" charset="0"/>
              <a:cs typeface="Archivo Condensed" pitchFamily="2" charset="0"/>
            </a:rPr>
            <a:t>Stores &amp; Categories</a:t>
          </a:r>
        </a:p>
      </xdr:txBody>
    </xdr:sp>
    <xdr:clientData/>
  </xdr:twoCellAnchor>
  <xdr:twoCellAnchor>
    <xdr:from>
      <xdr:col>12</xdr:col>
      <xdr:colOff>22860</xdr:colOff>
      <xdr:row>1</xdr:row>
      <xdr:rowOff>373380</xdr:rowOff>
    </xdr:from>
    <xdr:to>
      <xdr:col>13</xdr:col>
      <xdr:colOff>468630</xdr:colOff>
      <xdr:row>4</xdr:row>
      <xdr:rowOff>0</xdr:rowOff>
    </xdr:to>
    <xdr:sp macro="" textlink="">
      <xdr:nvSpPr>
        <xdr:cNvPr id="71" name="Retângulo: Cantos Superiores Arredondados 70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B792C195-5E1F-44F3-A16B-5356618B3EE9}"/>
            </a:ext>
          </a:extLst>
        </xdr:cNvPr>
        <xdr:cNvSpPr/>
      </xdr:nvSpPr>
      <xdr:spPr>
        <a:xfrm>
          <a:off x="8583930" y="556260"/>
          <a:ext cx="1085850" cy="335280"/>
        </a:xfrm>
        <a:prstGeom prst="round2SameRect">
          <a:avLst/>
        </a:prstGeom>
        <a:solidFill>
          <a:srgbClr val="C0000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chemeClr val="bg1"/>
              </a:solidFill>
              <a:latin typeface="Archivo Condensed" pitchFamily="2" charset="0"/>
              <a:cs typeface="Archivo Condensed" pitchFamily="2" charset="0"/>
            </a:rPr>
            <a:t>Region View</a:t>
          </a:r>
        </a:p>
      </xdr:txBody>
    </xdr:sp>
    <xdr:clientData/>
  </xdr:twoCellAnchor>
  <xdr:twoCellAnchor>
    <xdr:from>
      <xdr:col>6</xdr:col>
      <xdr:colOff>160020</xdr:colOff>
      <xdr:row>17</xdr:row>
      <xdr:rowOff>80010</xdr:rowOff>
    </xdr:from>
    <xdr:to>
      <xdr:col>10</xdr:col>
      <xdr:colOff>434340</xdr:colOff>
      <xdr:row>18</xdr:row>
      <xdr:rowOff>115010</xdr:rowOff>
    </xdr:to>
    <xdr:sp macro="" textlink="">
      <xdr:nvSpPr>
        <xdr:cNvPr id="72" name="CaixaDeTexto 71">
          <a:extLst>
            <a:ext uri="{FF2B5EF4-FFF2-40B4-BE49-F238E27FC236}">
              <a16:creationId xmlns:a16="http://schemas.microsoft.com/office/drawing/2014/main" id="{2B223C3D-A4FC-4AA6-A913-EF0452F16497}"/>
            </a:ext>
          </a:extLst>
        </xdr:cNvPr>
        <xdr:cNvSpPr txBox="1"/>
      </xdr:nvSpPr>
      <xdr:spPr>
        <a:xfrm>
          <a:off x="4880610" y="3348990"/>
          <a:ext cx="2834640" cy="21788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ctr"/>
          <a:r>
            <a:rPr lang="en-US" sz="1100" b="1">
              <a:solidFill>
                <a:sysClr val="windowText" lastClr="000000"/>
              </a:solidFill>
              <a:latin typeface="Archivo Condensed" pitchFamily="2" charset="0"/>
              <a:cs typeface="Archivo Condensed" pitchFamily="2" charset="0"/>
            </a:rPr>
            <a:t>GROSS PROFIT BY CHANNELS</a:t>
          </a:r>
        </a:p>
      </xdr:txBody>
    </xdr:sp>
    <xdr:clientData/>
  </xdr:twoCellAnchor>
  <xdr:twoCellAnchor>
    <xdr:from>
      <xdr:col>1</xdr:col>
      <xdr:colOff>361950</xdr:colOff>
      <xdr:row>17</xdr:row>
      <xdr:rowOff>80010</xdr:rowOff>
    </xdr:from>
    <xdr:to>
      <xdr:col>5</xdr:col>
      <xdr:colOff>636270</xdr:colOff>
      <xdr:row>18</xdr:row>
      <xdr:rowOff>115010</xdr:rowOff>
    </xdr:to>
    <xdr:sp macro="" textlink="">
      <xdr:nvSpPr>
        <xdr:cNvPr id="73" name="CaixaDeTexto 72">
          <a:extLst>
            <a:ext uri="{FF2B5EF4-FFF2-40B4-BE49-F238E27FC236}">
              <a16:creationId xmlns:a16="http://schemas.microsoft.com/office/drawing/2014/main" id="{45F2C9DB-3F26-4BE6-A410-51CECBB543FC}"/>
            </a:ext>
          </a:extLst>
        </xdr:cNvPr>
        <xdr:cNvSpPr txBox="1"/>
      </xdr:nvSpPr>
      <xdr:spPr>
        <a:xfrm>
          <a:off x="1882140" y="3348990"/>
          <a:ext cx="2834640" cy="21788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ctr"/>
          <a:r>
            <a:rPr lang="en-US" sz="1100" b="1">
              <a:solidFill>
                <a:sysClr val="windowText" lastClr="000000"/>
              </a:solidFill>
              <a:latin typeface="Archivo Condensed" pitchFamily="2" charset="0"/>
              <a:cs typeface="Archivo Condensed" pitchFamily="2" charset="0"/>
            </a:rPr>
            <a:t>GROSS PROFIT BY SHIFTS</a:t>
          </a:r>
        </a:p>
      </xdr:txBody>
    </xdr:sp>
    <xdr:clientData/>
  </xdr:twoCellAnchor>
  <xdr:twoCellAnchor>
    <xdr:from>
      <xdr:col>11</xdr:col>
      <xdr:colOff>41910</xdr:colOff>
      <xdr:row>17</xdr:row>
      <xdr:rowOff>80010</xdr:rowOff>
    </xdr:from>
    <xdr:to>
      <xdr:col>14</xdr:col>
      <xdr:colOff>998220</xdr:colOff>
      <xdr:row>18</xdr:row>
      <xdr:rowOff>115010</xdr:rowOff>
    </xdr:to>
    <xdr:sp macro="" textlink="">
      <xdr:nvSpPr>
        <xdr:cNvPr id="74" name="CaixaDeTexto 73">
          <a:extLst>
            <a:ext uri="{FF2B5EF4-FFF2-40B4-BE49-F238E27FC236}">
              <a16:creationId xmlns:a16="http://schemas.microsoft.com/office/drawing/2014/main" id="{77FD33DD-AFB9-4ACA-BA25-D02C9FA4CD5A}"/>
            </a:ext>
          </a:extLst>
        </xdr:cNvPr>
        <xdr:cNvSpPr txBox="1"/>
      </xdr:nvSpPr>
      <xdr:spPr>
        <a:xfrm>
          <a:off x="7962900" y="3348990"/>
          <a:ext cx="2834640" cy="21788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ctr"/>
          <a:r>
            <a:rPr lang="en-US" sz="1100" b="1">
              <a:solidFill>
                <a:sysClr val="windowText" lastClr="000000"/>
              </a:solidFill>
              <a:latin typeface="Archivo Condensed" pitchFamily="2" charset="0"/>
              <a:cs typeface="Archivo Condensed" pitchFamily="2" charset="0"/>
            </a:rPr>
            <a:t>CUSTOMER</a:t>
          </a:r>
          <a:r>
            <a:rPr lang="en-US" sz="1100" b="1" baseline="0">
              <a:solidFill>
                <a:sysClr val="windowText" lastClr="000000"/>
              </a:solidFill>
              <a:latin typeface="Archivo Condensed" pitchFamily="2" charset="0"/>
              <a:cs typeface="Archivo Condensed" pitchFamily="2" charset="0"/>
            </a:rPr>
            <a:t> SATISFACTION BY ORDERS</a:t>
          </a:r>
          <a:endParaRPr lang="en-US" sz="1100" b="1">
            <a:solidFill>
              <a:sysClr val="windowText" lastClr="000000"/>
            </a:solidFill>
            <a:latin typeface="Archivo Condensed" pitchFamily="2" charset="0"/>
            <a:cs typeface="Archivo Condensed" pitchFamily="2" charset="0"/>
          </a:endParaRP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islaine Lilo" refreshedDate="46089.98193923611" createdVersion="8" refreshedVersion="8" minRefreshableVersion="3" recordCount="350" xr:uid="{0CFFFD69-02ED-4698-9B9F-95EAE3D1A3B4}">
  <cacheSource type="worksheet">
    <worksheetSource name="tbl_base"/>
  </cacheSource>
  <cacheFields count="27">
    <cacheField name="Order_ID" numFmtId="0">
      <sharedItems/>
    </cacheField>
    <cacheField name="Date" numFmtId="14">
      <sharedItems containsSemiMixedTypes="0" containsNonDate="0" containsDate="1" containsString="0" minDate="2024-01-03T00:00:00" maxDate="2025-01-01T00:00:00" count="229">
        <d v="2024-01-03T00:00:00"/>
        <d v="2024-01-04T00:00:00"/>
        <d v="2024-01-05T00:00:00"/>
        <d v="2024-01-06T00:00:00"/>
        <d v="2024-01-08T00:00:00"/>
        <d v="2024-01-09T00:00:00"/>
        <d v="2024-01-10T00:00:00"/>
        <d v="2024-01-12T00:00:00"/>
        <d v="2024-01-14T00:00:00"/>
        <d v="2024-01-15T00:00:00"/>
        <d v="2024-01-16T00:00:00"/>
        <d v="2024-01-18T00:00:00"/>
        <d v="2024-01-20T00:00:00"/>
        <d v="2024-01-22T00:00:00"/>
        <d v="2024-01-23T00:00:00"/>
        <d v="2024-01-26T00:00:00"/>
        <d v="2024-01-27T00:00:00"/>
        <d v="2024-01-29T00:00:00"/>
        <d v="2024-01-30T00:00:00"/>
        <d v="2024-01-31T00:00:00"/>
        <d v="2024-02-01T00:00:00"/>
        <d v="2024-02-02T00:00:00"/>
        <d v="2024-02-03T00:00:00"/>
        <d v="2024-02-05T00:00:00"/>
        <d v="2024-02-06T00:00:00"/>
        <d v="2024-02-07T00:00:00"/>
        <d v="2024-02-08T00:00:00"/>
        <d v="2024-02-09T00:00:00"/>
        <d v="2024-02-10T00:00:00"/>
        <d v="2024-02-11T00:00:00"/>
        <d v="2024-02-12T00:00:00"/>
        <d v="2024-02-13T00:00:00"/>
        <d v="2024-02-17T00:00:00"/>
        <d v="2024-02-22T00:00:00"/>
        <d v="2024-02-23T00:00:00"/>
        <d v="2024-02-24T00:00:00"/>
        <d v="2024-02-26T00:00:00"/>
        <d v="2024-02-27T00:00:00"/>
        <d v="2024-02-28T00:00:00"/>
        <d v="2024-02-29T00:00:00"/>
        <d v="2024-03-01T00:00:00"/>
        <d v="2024-03-02T00:00:00"/>
        <d v="2024-03-03T00:00:00"/>
        <d v="2024-03-04T00:00:00"/>
        <d v="2024-03-05T00:00:00"/>
        <d v="2024-03-06T00:00:00"/>
        <d v="2024-03-08T00:00:00"/>
        <d v="2024-03-11T00:00:00"/>
        <d v="2024-03-12T00:00:00"/>
        <d v="2024-03-16T00:00:00"/>
        <d v="2024-03-17T00:00:00"/>
        <d v="2024-03-19T00:00:00"/>
        <d v="2024-03-21T00:00:00"/>
        <d v="2024-03-22T00:00:00"/>
        <d v="2024-03-23T00:00:00"/>
        <d v="2024-03-28T00:00:00"/>
        <d v="2024-03-29T00:00:00"/>
        <d v="2024-03-30T00:00:00"/>
        <d v="2024-03-31T00:00:00"/>
        <d v="2024-04-02T00:00:00"/>
        <d v="2024-04-03T00:00:00"/>
        <d v="2024-04-06T00:00:00"/>
        <d v="2024-04-07T00:00:00"/>
        <d v="2024-04-09T00:00:00"/>
        <d v="2024-04-10T00:00:00"/>
        <d v="2024-04-13T00:00:00"/>
        <d v="2024-04-14T00:00:00"/>
        <d v="2024-04-15T00:00:00"/>
        <d v="2024-04-19T00:00:00"/>
        <d v="2024-04-20T00:00:00"/>
        <d v="2024-04-22T00:00:00"/>
        <d v="2024-04-23T00:00:00"/>
        <d v="2024-04-25T00:00:00"/>
        <d v="2024-04-28T00:00:00"/>
        <d v="2024-04-29T00:00:00"/>
        <d v="2024-05-01T00:00:00"/>
        <d v="2024-05-02T00:00:00"/>
        <d v="2024-05-05T00:00:00"/>
        <d v="2024-05-09T00:00:00"/>
        <d v="2024-05-12T00:00:00"/>
        <d v="2024-05-13T00:00:00"/>
        <d v="2024-05-15T00:00:00"/>
        <d v="2024-05-17T00:00:00"/>
        <d v="2024-05-18T00:00:00"/>
        <d v="2024-05-19T00:00:00"/>
        <d v="2024-05-22T00:00:00"/>
        <d v="2024-05-23T00:00:00"/>
        <d v="2024-05-26T00:00:00"/>
        <d v="2024-05-27T00:00:00"/>
        <d v="2024-05-28T00:00:00"/>
        <d v="2024-05-31T00:00:00"/>
        <d v="2024-06-01T00:00:00"/>
        <d v="2024-06-02T00:00:00"/>
        <d v="2024-06-03T00:00:00"/>
        <d v="2024-06-06T00:00:00"/>
        <d v="2024-06-10T00:00:00"/>
        <d v="2024-06-12T00:00:00"/>
        <d v="2024-06-14T00:00:00"/>
        <d v="2024-06-16T00:00:00"/>
        <d v="2024-06-17T00:00:00"/>
        <d v="2024-06-18T00:00:00"/>
        <d v="2024-06-19T00:00:00"/>
        <d v="2024-06-20T00:00:00"/>
        <d v="2024-06-21T00:00:00"/>
        <d v="2024-06-22T00:00:00"/>
        <d v="2024-06-24T00:00:00"/>
        <d v="2024-06-25T00:00:00"/>
        <d v="2024-06-28T00:00:00"/>
        <d v="2024-06-29T00:00:00"/>
        <d v="2024-06-30T00:00:00"/>
        <d v="2024-07-02T00:00:00"/>
        <d v="2024-07-03T00:00:00"/>
        <d v="2024-07-04T00:00:00"/>
        <d v="2024-07-05T00:00:00"/>
        <d v="2024-07-07T00:00:00"/>
        <d v="2024-07-08T00:00:00"/>
        <d v="2024-07-09T00:00:00"/>
        <d v="2024-07-10T00:00:00"/>
        <d v="2024-07-14T00:00:00"/>
        <d v="2024-07-15T00:00:00"/>
        <d v="2024-07-17T00:00:00"/>
        <d v="2024-07-18T00:00:00"/>
        <d v="2024-07-20T00:00:00"/>
        <d v="2024-07-21T00:00:00"/>
        <d v="2024-07-23T00:00:00"/>
        <d v="2024-07-25T00:00:00"/>
        <d v="2024-07-26T00:00:00"/>
        <d v="2024-07-29T00:00:00"/>
        <d v="2024-07-30T00:00:00"/>
        <d v="2024-08-01T00:00:00"/>
        <d v="2024-08-02T00:00:00"/>
        <d v="2024-08-04T00:00:00"/>
        <d v="2024-08-07T00:00:00"/>
        <d v="2024-08-08T00:00:00"/>
        <d v="2024-08-10T00:00:00"/>
        <d v="2024-08-12T00:00:00"/>
        <d v="2024-08-13T00:00:00"/>
        <d v="2024-08-14T00:00:00"/>
        <d v="2024-08-15T00:00:00"/>
        <d v="2024-08-16T00:00:00"/>
        <d v="2024-08-17T00:00:00"/>
        <d v="2024-08-18T00:00:00"/>
        <d v="2024-08-19T00:00:00"/>
        <d v="2024-08-20T00:00:00"/>
        <d v="2024-08-21T00:00:00"/>
        <d v="2024-08-22T00:00:00"/>
        <d v="2024-08-23T00:00:00"/>
        <d v="2024-08-24T00:00:00"/>
        <d v="2024-08-25T00:00:00"/>
        <d v="2024-08-26T00:00:00"/>
        <d v="2024-08-27T00:00:00"/>
        <d v="2024-08-28T00:00:00"/>
        <d v="2024-08-31T00:00:00"/>
        <d v="2024-09-01T00:00:00"/>
        <d v="2024-09-03T00:00:00"/>
        <d v="2024-09-04T00:00:00"/>
        <d v="2024-09-06T00:00:00"/>
        <d v="2024-09-08T00:00:00"/>
        <d v="2024-09-10T00:00:00"/>
        <d v="2024-09-12T00:00:00"/>
        <d v="2024-09-16T00:00:00"/>
        <d v="2024-09-17T00:00:00"/>
        <d v="2024-09-18T00:00:00"/>
        <d v="2024-09-19T00:00:00"/>
        <d v="2024-09-20T00:00:00"/>
        <d v="2024-09-21T00:00:00"/>
        <d v="2024-09-28T00:00:00"/>
        <d v="2024-09-29T00:00:00"/>
        <d v="2024-09-30T00:00:00"/>
        <d v="2024-10-02T00:00:00"/>
        <d v="2024-10-03T00:00:00"/>
        <d v="2024-10-05T00:00:00"/>
        <d v="2024-10-07T00:00:00"/>
        <d v="2024-10-08T00:00:00"/>
        <d v="2024-10-09T00:00:00"/>
        <d v="2024-10-10T00:00:00"/>
        <d v="2024-10-11T00:00:00"/>
        <d v="2024-10-12T00:00:00"/>
        <d v="2024-10-15T00:00:00"/>
        <d v="2024-10-16T00:00:00"/>
        <d v="2024-10-17T00:00:00"/>
        <d v="2024-10-18T00:00:00"/>
        <d v="2024-10-19T00:00:00"/>
        <d v="2024-10-21T00:00:00"/>
        <d v="2024-10-22T00:00:00"/>
        <d v="2024-10-23T00:00:00"/>
        <d v="2024-10-27T00:00:00"/>
        <d v="2024-10-28T00:00:00"/>
        <d v="2024-10-30T00:00:00"/>
        <d v="2024-11-01T00:00:00"/>
        <d v="2024-11-02T00:00:00"/>
        <d v="2024-11-03T00:00:00"/>
        <d v="2024-11-04T00:00:00"/>
        <d v="2024-11-06T00:00:00"/>
        <d v="2024-11-07T00:00:00"/>
        <d v="2024-11-11T00:00:00"/>
        <d v="2024-11-12T00:00:00"/>
        <d v="2024-11-15T00:00:00"/>
        <d v="2024-11-17T00:00:00"/>
        <d v="2024-11-18T00:00:00"/>
        <d v="2024-11-20T00:00:00"/>
        <d v="2024-11-21T00:00:00"/>
        <d v="2024-11-23T00:00:00"/>
        <d v="2024-11-24T00:00:00"/>
        <d v="2024-11-25T00:00:00"/>
        <d v="2024-11-26T00:00:00"/>
        <d v="2024-11-29T00:00:00"/>
        <d v="2024-11-30T00:00:00"/>
        <d v="2024-12-01T00:00:00"/>
        <d v="2024-12-02T00:00:00"/>
        <d v="2024-12-03T00:00:00"/>
        <d v="2024-12-04T00:00:00"/>
        <d v="2024-12-05T00:00:00"/>
        <d v="2024-12-07T00:00:00"/>
        <d v="2024-12-11T00:00:00"/>
        <d v="2024-12-12T00:00:00"/>
        <d v="2024-12-14T00:00:00"/>
        <d v="2024-12-15T00:00:00"/>
        <d v="2024-12-16T00:00:00"/>
        <d v="2024-12-17T00:00:00"/>
        <d v="2024-12-18T00:00:00"/>
        <d v="2024-12-19T00:00:00"/>
        <d v="2024-12-22T00:00:00"/>
        <d v="2024-12-26T00:00:00"/>
        <d v="2024-12-27T00:00:00"/>
        <d v="2024-12-28T00:00:00"/>
        <d v="2024-12-29T00:00:00"/>
        <d v="2024-12-30T00:00:00"/>
        <d v="2024-12-31T00:00:00"/>
      </sharedItems>
      <fieldGroup par="26"/>
    </cacheField>
    <cacheField name="Quarter" numFmtId="0">
      <sharedItems/>
    </cacheField>
    <cacheField name="Day_of_Week" numFmtId="0">
      <sharedItems/>
    </cacheField>
    <cacheField name="Shift Desc" numFmtId="0">
      <sharedItems count="4">
        <s v="Morning"/>
        <s v="Overnight"/>
        <s v="Evening"/>
        <s v="Afternoon"/>
      </sharedItems>
    </cacheField>
    <cacheField name="Shift" numFmtId="0">
      <sharedItems/>
    </cacheField>
    <cacheField name="Store_ID" numFmtId="0">
      <sharedItems/>
    </cacheField>
    <cacheField name="Store_Name" numFmtId="0">
      <sharedItems count="10">
        <s v="South Bay Center"/>
        <s v="Northshore Mall"/>
        <s v="Arsenal Yards"/>
        <s v="Downtown Boston"/>
        <s v="Framingham Centre"/>
        <s v="Independence Mall"/>
        <s v="Natick Mall"/>
        <s v="Burlington Mall"/>
        <s v="Cape Cod Mall"/>
        <s v="Solomon Pond Mall"/>
      </sharedItems>
    </cacheField>
    <cacheField name="City" numFmtId="0">
      <sharedItems/>
    </cacheField>
    <cacheField name="State" numFmtId="0">
      <sharedItems/>
    </cacheField>
    <cacheField name="Region" numFmtId="0">
      <sharedItems count="5">
        <s v="Greater Boston"/>
        <s v="North Shore"/>
        <s v="MetroWest"/>
        <s v="South Shore"/>
        <s v="Cape Cod"/>
      </sharedItems>
    </cacheField>
    <cacheField name="Category" numFmtId="0">
      <sharedItems count="6">
        <s v="Beverages"/>
        <s v="McCafé"/>
        <s v="Combo Meals"/>
        <s v="Desserts"/>
        <s v="Sides"/>
        <s v="Burgers"/>
      </sharedItems>
    </cacheField>
    <cacheField name="Product" numFmtId="0">
      <sharedItems/>
    </cacheField>
    <cacheField name="Quantity" numFmtId="0">
      <sharedItems containsSemiMixedTypes="0" containsString="0" containsNumber="1" containsInteger="1" minValue="1" maxValue="5"/>
    </cacheField>
    <cacheField name="Unit_Price" numFmtId="0">
      <sharedItems containsSemiMixedTypes="0" containsString="0" containsNumber="1" minValue="0.98" maxValue="11.31"/>
    </cacheField>
    <cacheField name="Gross_Revenue" numFmtId="0">
      <sharedItems containsSemiMixedTypes="0" containsString="0" containsNumber="1" minValue="0.99" maxValue="56.25"/>
    </cacheField>
    <cacheField name="Discount_Amount" numFmtId="0">
      <sharedItems containsSemiMixedTypes="0" containsString="0" containsNumber="1" minValue="0" maxValue="8.57"/>
    </cacheField>
    <cacheField name="Net_Revenue" numFmtId="0">
      <sharedItems containsSemiMixedTypes="0" containsString="0" containsNumber="1" minValue="0.84" maxValue="53.44"/>
    </cacheField>
    <cacheField name="Cost_Of_Goods_Sold" numFmtId="0">
      <sharedItems containsSemiMixedTypes="0" containsString="0" containsNumber="1" minValue="0.36" maxValue="26.39"/>
    </cacheField>
    <cacheField name="Gross_Profit" numFmtId="0">
      <sharedItems containsSemiMixedTypes="0" containsString="0" containsNumber="1" minValue="0.46" maxValue="34.020000000000003"/>
    </cacheField>
    <cacheField name="Sales_Channel" numFmtId="0">
      <sharedItems count="6">
        <s v="Uber Eats"/>
        <s v="Self-Service Kiosk"/>
        <s v="DoorDash"/>
        <s v="Drive-Thru"/>
        <s v="Counter"/>
        <s v="McDonald's App"/>
      </sharedItems>
    </cacheField>
    <cacheField name="Payment_Method" numFmtId="0">
      <sharedItems/>
    </cacheField>
    <cacheField name="Customer_Satisfaction" numFmtId="0">
      <sharedItems containsSemiMixedTypes="0" containsString="0" containsNumber="1" containsInteger="1" minValue="1" maxValue="5" count="5">
        <n v="4"/>
        <n v="5"/>
        <n v="3"/>
        <n v="2"/>
        <n v="1"/>
      </sharedItems>
    </cacheField>
    <cacheField name="Discount_Tier" numFmtId="0">
      <sharedItems/>
    </cacheField>
    <cacheField name="Gross_Profit_Margin_Pct" numFmtId="0" formula="Gross_Profit /Net_Revenue" databaseField="0"/>
    <cacheField name="Dias (Date)" numFmtId="0" databaseField="0">
      <fieldGroup base="1">
        <rangePr groupBy="days" startDate="2024-01-03T00:00:00" endDate="2025-01-01T00:00:00"/>
        <groupItems count="368">
          <s v="&lt;1/3/2024"/>
          <s v="1-Jan"/>
          <s v="2-Jan"/>
          <s v="3-Jan"/>
          <s v="4-Jan"/>
          <s v="5-Jan"/>
          <s v="6-Jan"/>
          <s v="7-Jan"/>
          <s v="8-Jan"/>
          <s v="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1-Feb"/>
          <s v="2-Feb"/>
          <s v="3-Feb"/>
          <s v="4-Feb"/>
          <s v="5-Feb"/>
          <s v="6-Feb"/>
          <s v="7-Feb"/>
          <s v="8-Feb"/>
          <s v="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1-Mar"/>
          <s v="2-Mar"/>
          <s v="3-Mar"/>
          <s v="4-Mar"/>
          <s v="5-Mar"/>
          <s v="6-Mar"/>
          <s v="7-Mar"/>
          <s v="8-Mar"/>
          <s v="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1-Apr"/>
          <s v="2-Apr"/>
          <s v="3-Apr"/>
          <s v="4-Apr"/>
          <s v="5-Apr"/>
          <s v="6-Apr"/>
          <s v="7-Apr"/>
          <s v="8-Apr"/>
          <s v="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1-May"/>
          <s v="2-May"/>
          <s v="3-May"/>
          <s v="4-May"/>
          <s v="5-May"/>
          <s v="6-May"/>
          <s v="7-May"/>
          <s v="8-May"/>
          <s v="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1-Jun"/>
          <s v="2-Jun"/>
          <s v="3-Jun"/>
          <s v="4-Jun"/>
          <s v="5-Jun"/>
          <s v="6-Jun"/>
          <s v="7-Jun"/>
          <s v="8-Jun"/>
          <s v="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1-Jul"/>
          <s v="2-Jul"/>
          <s v="3-Jul"/>
          <s v="4-Jul"/>
          <s v="5-Jul"/>
          <s v="6-Jul"/>
          <s v="7-Jul"/>
          <s v="8-Jul"/>
          <s v="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1-Aug"/>
          <s v="2-Aug"/>
          <s v="3-Aug"/>
          <s v="4-Aug"/>
          <s v="5-Aug"/>
          <s v="6-Aug"/>
          <s v="7-Aug"/>
          <s v="8-Aug"/>
          <s v="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1-Sep"/>
          <s v="2-Sep"/>
          <s v="3-Sep"/>
          <s v="4-Sep"/>
          <s v="5-Sep"/>
          <s v="6-Sep"/>
          <s v="7-Sep"/>
          <s v="8-Sep"/>
          <s v="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1-Oct"/>
          <s v="2-Oct"/>
          <s v="3-Oct"/>
          <s v="4-Oct"/>
          <s v="5-Oct"/>
          <s v="6-Oct"/>
          <s v="7-Oct"/>
          <s v="8-Oct"/>
          <s v="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1-Nov"/>
          <s v="2-Nov"/>
          <s v="3-Nov"/>
          <s v="4-Nov"/>
          <s v="5-Nov"/>
          <s v="6-Nov"/>
          <s v="7-Nov"/>
          <s v="8-Nov"/>
          <s v="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1-Dec"/>
          <s v="2-Dec"/>
          <s v="3-Dec"/>
          <s v="4-Dec"/>
          <s v="5-Dec"/>
          <s v="6-Dec"/>
          <s v="7-Dec"/>
          <s v="8-Dec"/>
          <s v="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1/1/2025"/>
        </groupItems>
      </fieldGroup>
    </cacheField>
    <cacheField name="Meses (Date)" numFmtId="0" databaseField="0">
      <fieldGroup base="1">
        <rangePr groupBy="months" startDate="2024-01-03T00:00:00" endDate="2025-01-01T00:00:00"/>
        <groupItems count="14">
          <s v="&lt;1/3/2024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/1/2025"/>
        </groupItems>
      </fieldGroup>
    </cacheField>
  </cacheFields>
  <extLst>
    <ext xmlns:x14="http://schemas.microsoft.com/office/spreadsheetml/2009/9/main" uri="{725AE2AE-9491-48be-B2B4-4EB974FC3084}">
      <x14:pivotCacheDefinition pivotCacheId="1657635766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50">
  <r>
    <s v="ORD-00240"/>
    <x v="0"/>
    <s v="Q1"/>
    <s v="Wednesday"/>
    <x v="0"/>
    <s v="(6am-12pm)"/>
    <s v="MA-004"/>
    <x v="0"/>
    <s v="Boston"/>
    <s v="MA"/>
    <x v="0"/>
    <x v="0"/>
    <s v="McCafe Frappe"/>
    <n v="3"/>
    <n v="4.57"/>
    <n v="13.71"/>
    <n v="0"/>
    <n v="13.71"/>
    <n v="5.08"/>
    <n v="8.6300000000000008"/>
    <x v="0"/>
    <s v="Credit Card"/>
    <x v="0"/>
    <s v="Light"/>
  </r>
  <r>
    <s v="ORD-00120"/>
    <x v="1"/>
    <s v="Q1"/>
    <s v="Thursday"/>
    <x v="1"/>
    <s v="(12am-6am)"/>
    <s v="MA-008"/>
    <x v="1"/>
    <s v="Peabody"/>
    <s v="MA"/>
    <x v="1"/>
    <x v="1"/>
    <s v="Blueberry Muffin"/>
    <n v="1"/>
    <n v="2.4700000000000002"/>
    <n v="2.4700000000000002"/>
    <n v="0.25"/>
    <n v="2.2200000000000002"/>
    <n v="1"/>
    <n v="1.22"/>
    <x v="1"/>
    <s v="Cash"/>
    <x v="0"/>
    <s v="Moderate"/>
  </r>
  <r>
    <s v="ORD-00186"/>
    <x v="2"/>
    <s v="Q1"/>
    <s v="Friday"/>
    <x v="1"/>
    <s v="(12am-6am)"/>
    <s v="MA-005"/>
    <x v="2"/>
    <s v="Watertown"/>
    <s v="MA"/>
    <x v="0"/>
    <x v="2"/>
    <s v="Big Mac Combo"/>
    <n v="4"/>
    <n v="10.39"/>
    <n v="41.56"/>
    <n v="0"/>
    <n v="41.56"/>
    <n v="19.88"/>
    <n v="21.68"/>
    <x v="0"/>
    <s v="Apple Pay"/>
    <x v="1"/>
    <s v="Light"/>
  </r>
  <r>
    <s v="ORD-00090"/>
    <x v="2"/>
    <s v="Q1"/>
    <s v="Friday"/>
    <x v="2"/>
    <s v="(6pm-12am)"/>
    <s v="MA-008"/>
    <x v="1"/>
    <s v="Peabody"/>
    <s v="MA"/>
    <x v="1"/>
    <x v="3"/>
    <s v="Soft Serve Cone"/>
    <n v="1"/>
    <n v="1"/>
    <n v="1"/>
    <n v="0"/>
    <n v="1"/>
    <n v="0.47"/>
    <n v="0.53"/>
    <x v="1"/>
    <s v="Apple Pay"/>
    <x v="0"/>
    <s v="Light"/>
  </r>
  <r>
    <s v="ORD-00190"/>
    <x v="3"/>
    <s v="Q1"/>
    <s v="Saturday"/>
    <x v="3"/>
    <s v="(12pm-6pm)"/>
    <s v="MA-005"/>
    <x v="2"/>
    <s v="Watertown"/>
    <s v="MA"/>
    <x v="0"/>
    <x v="1"/>
    <s v="Cappuccino"/>
    <n v="2"/>
    <n v="3.89"/>
    <n v="7.78"/>
    <n v="0"/>
    <n v="7.78"/>
    <n v="3.2"/>
    <n v="4.58"/>
    <x v="2"/>
    <s v="EBT"/>
    <x v="1"/>
    <s v="Light"/>
  </r>
  <r>
    <s v="ORD-00085"/>
    <x v="4"/>
    <s v="Q1"/>
    <s v="Monday"/>
    <x v="1"/>
    <s v="(12am-6am)"/>
    <s v="MA-003"/>
    <x v="3"/>
    <s v="Boston"/>
    <s v="MA"/>
    <x v="0"/>
    <x v="4"/>
    <s v="Large Fries"/>
    <n v="1"/>
    <n v="3.55"/>
    <n v="3.55"/>
    <n v="0"/>
    <n v="3.55"/>
    <n v="1.69"/>
    <n v="1.86"/>
    <x v="2"/>
    <s v="EBT"/>
    <x v="1"/>
    <s v="Light"/>
  </r>
  <r>
    <s v="ORD-00062"/>
    <x v="5"/>
    <s v="Q1"/>
    <s v="Tuesday"/>
    <x v="0"/>
    <s v="(6am-12pm)"/>
    <s v="MA-002"/>
    <x v="4"/>
    <s v="Framingham"/>
    <s v="MA"/>
    <x v="2"/>
    <x v="3"/>
    <s v="McFlurry M&amp;M"/>
    <n v="2"/>
    <n v="3.73"/>
    <n v="7.46"/>
    <n v="0.37"/>
    <n v="7.09"/>
    <n v="3"/>
    <n v="4.09"/>
    <x v="0"/>
    <s v="Google Pay"/>
    <x v="0"/>
    <s v="Light"/>
  </r>
  <r>
    <s v="ORD-00215"/>
    <x v="5"/>
    <s v="Q1"/>
    <s v="Tuesday"/>
    <x v="0"/>
    <s v="(6am-12pm)"/>
    <s v="MA-009"/>
    <x v="5"/>
    <s v="Kingston"/>
    <s v="MA"/>
    <x v="3"/>
    <x v="1"/>
    <s v="Blueberry Muffin"/>
    <n v="3"/>
    <n v="2.5499999999999998"/>
    <n v="7.65"/>
    <n v="0"/>
    <n v="7.65"/>
    <n v="2.82"/>
    <n v="4.83"/>
    <x v="3"/>
    <s v="Credit Card"/>
    <x v="0"/>
    <s v="Light"/>
  </r>
  <r>
    <s v="ORD-00014"/>
    <x v="6"/>
    <s v="Q1"/>
    <s v="Wednesday"/>
    <x v="1"/>
    <s v="(12am-6am)"/>
    <s v="MA-002"/>
    <x v="4"/>
    <s v="Framingham"/>
    <s v="MA"/>
    <x v="2"/>
    <x v="3"/>
    <s v="Hot Fudge Sundae"/>
    <n v="1"/>
    <n v="1.96"/>
    <n v="1.96"/>
    <n v="0.1"/>
    <n v="1.86"/>
    <n v="0.68"/>
    <n v="1.18"/>
    <x v="1"/>
    <s v="Apple Pay"/>
    <x v="1"/>
    <s v="Light"/>
  </r>
  <r>
    <s v="ORD-00199"/>
    <x v="7"/>
    <s v="Q1"/>
    <s v="Friday"/>
    <x v="0"/>
    <s v="(6am-12pm)"/>
    <s v="MA-005"/>
    <x v="2"/>
    <s v="Watertown"/>
    <s v="MA"/>
    <x v="0"/>
    <x v="4"/>
    <s v="Side Salad"/>
    <n v="2"/>
    <n v="3.27"/>
    <n v="6.54"/>
    <n v="0"/>
    <n v="6.54"/>
    <n v="2.89"/>
    <n v="3.65"/>
    <x v="3"/>
    <s v="Cash"/>
    <x v="1"/>
    <s v="Light"/>
  </r>
  <r>
    <s v="ORD-00105"/>
    <x v="8"/>
    <s v="Q1"/>
    <s v="Sunday"/>
    <x v="2"/>
    <s v="(6pm-12am)"/>
    <s v="MA-003"/>
    <x v="3"/>
    <s v="Boston"/>
    <s v="MA"/>
    <x v="0"/>
    <x v="5"/>
    <s v="McDouble"/>
    <n v="3"/>
    <n v="3.44"/>
    <n v="10.32"/>
    <n v="0"/>
    <n v="10.32"/>
    <n v="3.97"/>
    <n v="6.35"/>
    <x v="4"/>
    <s v="Credit Card"/>
    <x v="0"/>
    <s v="Light"/>
  </r>
  <r>
    <s v="ORD-00088"/>
    <x v="9"/>
    <s v="Q1"/>
    <s v="Monday"/>
    <x v="1"/>
    <s v="(12am-6am)"/>
    <s v="MA-001"/>
    <x v="6"/>
    <s v="Natick"/>
    <s v="MA"/>
    <x v="2"/>
    <x v="3"/>
    <s v="McFlurry Oreo"/>
    <n v="1"/>
    <n v="3.76"/>
    <n v="3.76"/>
    <n v="0"/>
    <n v="3.76"/>
    <n v="1.72"/>
    <n v="2.04"/>
    <x v="0"/>
    <s v="EBT"/>
    <x v="2"/>
    <s v="Light"/>
  </r>
  <r>
    <s v="ORD-00002"/>
    <x v="10"/>
    <s v="Q1"/>
    <s v="Tuesday"/>
    <x v="0"/>
    <s v="(6am-12pm)"/>
    <s v="MA-002"/>
    <x v="4"/>
    <s v="Framingham"/>
    <s v="MA"/>
    <x v="2"/>
    <x v="0"/>
    <s v="Soft Drink L"/>
    <n v="2"/>
    <n v="2.42"/>
    <n v="4.84"/>
    <n v="0"/>
    <n v="4.84"/>
    <n v="2.3199999999999998"/>
    <n v="2.52"/>
    <x v="0"/>
    <s v="Apple Pay"/>
    <x v="0"/>
    <s v="Light"/>
  </r>
  <r>
    <s v="ORD-00153"/>
    <x v="11"/>
    <s v="Q1"/>
    <s v="Thursday"/>
    <x v="2"/>
    <s v="(6pm-12am)"/>
    <s v="MA-003"/>
    <x v="3"/>
    <s v="Boston"/>
    <s v="MA"/>
    <x v="0"/>
    <x v="5"/>
    <s v="Quarter Pounder w/ Cheese"/>
    <n v="3"/>
    <n v="5.94"/>
    <n v="17.82"/>
    <n v="0"/>
    <n v="17.82"/>
    <n v="8.26"/>
    <n v="9.56"/>
    <x v="0"/>
    <s v="Credit Card"/>
    <x v="0"/>
    <s v="Light"/>
  </r>
  <r>
    <s v="ORD-00185"/>
    <x v="12"/>
    <s v="Q1"/>
    <s v="Saturday"/>
    <x v="0"/>
    <s v="(6am-12pm)"/>
    <s v="MA-003"/>
    <x v="3"/>
    <s v="Boston"/>
    <s v="MA"/>
    <x v="0"/>
    <x v="4"/>
    <s v="Large Fries"/>
    <n v="4"/>
    <n v="3.39"/>
    <n v="13.56"/>
    <n v="1.36"/>
    <n v="12.2"/>
    <n v="6.19"/>
    <n v="6.01"/>
    <x v="3"/>
    <s v="EBT"/>
    <x v="1"/>
    <s v="Moderate"/>
  </r>
  <r>
    <s v="ORD-00121"/>
    <x v="13"/>
    <s v="Q1"/>
    <s v="Monday"/>
    <x v="3"/>
    <s v="(12pm-6pm)"/>
    <s v="MA-007"/>
    <x v="7"/>
    <s v="Burlington"/>
    <s v="MA"/>
    <x v="1"/>
    <x v="5"/>
    <s v="McChicken"/>
    <n v="4"/>
    <n v="3.36"/>
    <n v="13.44"/>
    <n v="0.67"/>
    <n v="12.77"/>
    <n v="5.93"/>
    <n v="6.84"/>
    <x v="1"/>
    <s v="EBT"/>
    <x v="0"/>
    <s v="Light"/>
  </r>
  <r>
    <s v="ORD-00278"/>
    <x v="14"/>
    <s v="Q1"/>
    <s v="Tuesday"/>
    <x v="1"/>
    <s v="(12am-6am)"/>
    <s v="MA-004"/>
    <x v="0"/>
    <s v="Boston"/>
    <s v="MA"/>
    <x v="0"/>
    <x v="2"/>
    <s v="Happy Meal"/>
    <n v="3"/>
    <n v="6.94"/>
    <n v="20.82"/>
    <n v="4.16"/>
    <n v="16.66"/>
    <n v="6.11"/>
    <n v="10.55"/>
    <x v="4"/>
    <s v="Google Pay"/>
    <x v="1"/>
    <s v="Aggressive"/>
  </r>
  <r>
    <s v="ORD-00321"/>
    <x v="15"/>
    <s v="Q1"/>
    <s v="Friday"/>
    <x v="1"/>
    <s v="(12am-6am)"/>
    <s v="MA-003"/>
    <x v="3"/>
    <s v="Boston"/>
    <s v="MA"/>
    <x v="0"/>
    <x v="2"/>
    <s v="McChicken Combo"/>
    <n v="4"/>
    <n v="9.57"/>
    <n v="38.28"/>
    <n v="1.91"/>
    <n v="36.369999999999997"/>
    <n v="14.69"/>
    <n v="21.68"/>
    <x v="2"/>
    <s v="Google Pay"/>
    <x v="1"/>
    <s v="Light"/>
  </r>
  <r>
    <s v="ORD-00030"/>
    <x v="16"/>
    <s v="Q1"/>
    <s v="Saturday"/>
    <x v="2"/>
    <s v="(6pm-12am)"/>
    <s v="MA-002"/>
    <x v="4"/>
    <s v="Framingham"/>
    <s v="MA"/>
    <x v="2"/>
    <x v="1"/>
    <s v="Blueberry Muffin"/>
    <n v="3"/>
    <n v="2.42"/>
    <n v="7.26"/>
    <n v="0"/>
    <n v="7.26"/>
    <n v="2.73"/>
    <n v="4.53"/>
    <x v="5"/>
    <s v="Credit Card"/>
    <x v="0"/>
    <s v="Light"/>
  </r>
  <r>
    <s v="ORD-00274"/>
    <x v="16"/>
    <s v="Q1"/>
    <s v="Saturday"/>
    <x v="0"/>
    <s v="(6am-12pm)"/>
    <s v="MA-003"/>
    <x v="3"/>
    <s v="Boston"/>
    <s v="MA"/>
    <x v="0"/>
    <x v="0"/>
    <s v="Orange Juice"/>
    <n v="5"/>
    <n v="2.87"/>
    <n v="14.35"/>
    <n v="0"/>
    <n v="14.35"/>
    <n v="6.36"/>
    <n v="7.99"/>
    <x v="5"/>
    <s v="Cash"/>
    <x v="2"/>
    <s v="Light"/>
  </r>
  <r>
    <s v="ORD-00078"/>
    <x v="16"/>
    <s v="Q1"/>
    <s v="Saturday"/>
    <x v="2"/>
    <s v="(6pm-12am)"/>
    <s v="MA-004"/>
    <x v="0"/>
    <s v="Boston"/>
    <s v="MA"/>
    <x v="0"/>
    <x v="3"/>
    <s v="Soft Serve Cone"/>
    <n v="1"/>
    <n v="0.99"/>
    <n v="0.99"/>
    <n v="0.15"/>
    <n v="0.84"/>
    <n v="0.38"/>
    <n v="0.46"/>
    <x v="4"/>
    <s v="EBT"/>
    <x v="1"/>
    <s v="Heavy"/>
  </r>
  <r>
    <s v="ORD-00138"/>
    <x v="16"/>
    <s v="Q1"/>
    <s v="Saturday"/>
    <x v="0"/>
    <s v="(6am-12pm)"/>
    <s v="MA-008"/>
    <x v="1"/>
    <s v="Peabody"/>
    <s v="MA"/>
    <x v="1"/>
    <x v="3"/>
    <s v="Soft Serve Cone"/>
    <n v="4"/>
    <n v="1.01"/>
    <n v="4.04"/>
    <n v="0.2"/>
    <n v="3.84"/>
    <n v="1.44"/>
    <n v="2.4"/>
    <x v="4"/>
    <s v="Credit Card"/>
    <x v="0"/>
    <s v="Light"/>
  </r>
  <r>
    <s v="ORD-00161"/>
    <x v="17"/>
    <s v="Q1"/>
    <s v="Monday"/>
    <x v="1"/>
    <s v="(12am-6am)"/>
    <s v="MA-002"/>
    <x v="4"/>
    <s v="Framingham"/>
    <s v="MA"/>
    <x v="2"/>
    <x v="2"/>
    <s v="McChicken Combo"/>
    <n v="1"/>
    <n v="9.3000000000000007"/>
    <n v="9.3000000000000007"/>
    <n v="1.4"/>
    <n v="7.9"/>
    <n v="3.12"/>
    <n v="4.78"/>
    <x v="0"/>
    <s v="Cash"/>
    <x v="0"/>
    <s v="Heavy"/>
  </r>
  <r>
    <s v="ORD-00152"/>
    <x v="18"/>
    <s v="Q1"/>
    <s v="Tuesday"/>
    <x v="2"/>
    <s v="(6pm-12am)"/>
    <s v="MA-002"/>
    <x v="4"/>
    <s v="Framingham"/>
    <s v="MA"/>
    <x v="2"/>
    <x v="1"/>
    <s v="Blueberry Muffin"/>
    <n v="1"/>
    <n v="2.5299999999999998"/>
    <n v="2.5299999999999998"/>
    <n v="0.13"/>
    <n v="2.4"/>
    <n v="1.3"/>
    <n v="1.1000000000000001"/>
    <x v="3"/>
    <s v="Google Pay"/>
    <x v="1"/>
    <s v="Light"/>
  </r>
  <r>
    <s v="ORD-00069"/>
    <x v="19"/>
    <s v="Q1"/>
    <s v="Wednesday"/>
    <x v="1"/>
    <s v="(12am-6am)"/>
    <s v="MA-010"/>
    <x v="8"/>
    <s v="Hyannis"/>
    <s v="MA"/>
    <x v="4"/>
    <x v="1"/>
    <s v="Espresso"/>
    <n v="4"/>
    <n v="1.96"/>
    <n v="7.84"/>
    <n v="0"/>
    <n v="7.84"/>
    <n v="3.78"/>
    <n v="4.0599999999999996"/>
    <x v="3"/>
    <s v="Credit Card"/>
    <x v="0"/>
    <s v="Light"/>
  </r>
  <r>
    <s v="ORD-00309"/>
    <x v="20"/>
    <s v="Q1"/>
    <s v="Thursday"/>
    <x v="0"/>
    <s v="(6am-12pm)"/>
    <s v="MA-007"/>
    <x v="7"/>
    <s v="Burlington"/>
    <s v="MA"/>
    <x v="1"/>
    <x v="2"/>
    <s v="Happy Meal"/>
    <n v="5"/>
    <n v="7.07"/>
    <n v="35.35"/>
    <n v="5.3"/>
    <n v="30.05"/>
    <n v="13.96"/>
    <n v="16.09"/>
    <x v="3"/>
    <s v="Apple Pay"/>
    <x v="3"/>
    <s v="Heavy"/>
  </r>
  <r>
    <s v="ORD-00048"/>
    <x v="21"/>
    <s v="Q1"/>
    <s v="Friday"/>
    <x v="1"/>
    <s v="(12am-6am)"/>
    <s v="MA-007"/>
    <x v="7"/>
    <s v="Burlington"/>
    <s v="MA"/>
    <x v="1"/>
    <x v="4"/>
    <s v="McNuggets 6pc"/>
    <n v="2"/>
    <n v="4.47"/>
    <n v="8.94"/>
    <n v="0"/>
    <n v="8.94"/>
    <n v="3.88"/>
    <n v="5.0599999999999996"/>
    <x v="0"/>
    <s v="EBT"/>
    <x v="1"/>
    <s v="Light"/>
  </r>
  <r>
    <s v="ORD-00254"/>
    <x v="21"/>
    <s v="Q1"/>
    <s v="Friday"/>
    <x v="3"/>
    <s v="(12pm-6pm)"/>
    <s v="MA-009"/>
    <x v="5"/>
    <s v="Kingston"/>
    <s v="MA"/>
    <x v="3"/>
    <x v="4"/>
    <s v="Large Fries"/>
    <n v="5"/>
    <n v="3.56"/>
    <n v="17.8"/>
    <n v="0"/>
    <n v="17.8"/>
    <n v="7.38"/>
    <n v="10.42"/>
    <x v="5"/>
    <s v="Cash"/>
    <x v="0"/>
    <s v="Light"/>
  </r>
  <r>
    <s v="ORD-00159"/>
    <x v="22"/>
    <s v="Q1"/>
    <s v="Saturday"/>
    <x v="1"/>
    <s v="(12am-6am)"/>
    <s v="MA-005"/>
    <x v="2"/>
    <s v="Watertown"/>
    <s v="MA"/>
    <x v="0"/>
    <x v="4"/>
    <s v="McNuggets 10pc"/>
    <n v="2"/>
    <n v="6.59"/>
    <n v="13.18"/>
    <n v="1.32"/>
    <n v="11.86"/>
    <n v="4.33"/>
    <n v="7.53"/>
    <x v="5"/>
    <s v="EBT"/>
    <x v="0"/>
    <s v="Moderate"/>
  </r>
  <r>
    <s v="ORD-00067"/>
    <x v="22"/>
    <s v="Q1"/>
    <s v="Saturday"/>
    <x v="0"/>
    <s v="(6am-12pm)"/>
    <s v="MA-007"/>
    <x v="7"/>
    <s v="Burlington"/>
    <s v="MA"/>
    <x v="1"/>
    <x v="4"/>
    <s v="Medium Fries"/>
    <n v="2"/>
    <n v="2.82"/>
    <n v="5.64"/>
    <n v="0"/>
    <n v="5.64"/>
    <n v="2.89"/>
    <n v="2.75"/>
    <x v="5"/>
    <s v="Debit Card"/>
    <x v="2"/>
    <s v="Light"/>
  </r>
  <r>
    <s v="ORD-00116"/>
    <x v="23"/>
    <s v="Q1"/>
    <s v="Monday"/>
    <x v="0"/>
    <s v="(6am-12pm)"/>
    <s v="MA-003"/>
    <x v="3"/>
    <s v="Boston"/>
    <s v="MA"/>
    <x v="0"/>
    <x v="1"/>
    <s v="Espresso"/>
    <n v="1"/>
    <n v="1.99"/>
    <n v="1.99"/>
    <n v="0"/>
    <n v="1.99"/>
    <n v="0.88"/>
    <n v="1.1100000000000001"/>
    <x v="3"/>
    <s v="Cash"/>
    <x v="1"/>
    <s v="Light"/>
  </r>
  <r>
    <s v="ORD-00072"/>
    <x v="24"/>
    <s v="Q1"/>
    <s v="Tuesday"/>
    <x v="0"/>
    <s v="(6am-12pm)"/>
    <s v="MA-001"/>
    <x v="6"/>
    <s v="Natick"/>
    <s v="MA"/>
    <x v="2"/>
    <x v="0"/>
    <s v="McCafe Frappe"/>
    <n v="2"/>
    <n v="4.58"/>
    <n v="9.16"/>
    <n v="1.37"/>
    <n v="7.79"/>
    <n v="3.41"/>
    <n v="4.38"/>
    <x v="2"/>
    <s v="EBT"/>
    <x v="1"/>
    <s v="Heavy"/>
  </r>
  <r>
    <s v="ORD-00259"/>
    <x v="24"/>
    <s v="Q1"/>
    <s v="Tuesday"/>
    <x v="1"/>
    <s v="(12am-6am)"/>
    <s v="MA-004"/>
    <x v="0"/>
    <s v="Boston"/>
    <s v="MA"/>
    <x v="0"/>
    <x v="4"/>
    <s v="Medium Fries"/>
    <n v="3"/>
    <n v="2.72"/>
    <n v="8.16"/>
    <n v="0"/>
    <n v="8.16"/>
    <n v="4.29"/>
    <n v="3.87"/>
    <x v="3"/>
    <s v="Apple Pay"/>
    <x v="1"/>
    <s v="Light"/>
  </r>
  <r>
    <s v="ORD-00127"/>
    <x v="25"/>
    <s v="Q1"/>
    <s v="Wednesday"/>
    <x v="2"/>
    <s v="(6pm-12am)"/>
    <s v="MA-005"/>
    <x v="2"/>
    <s v="Watertown"/>
    <s v="MA"/>
    <x v="0"/>
    <x v="4"/>
    <s v="McNuggets 10pc"/>
    <n v="1"/>
    <n v="6.44"/>
    <n v="6.44"/>
    <n v="0"/>
    <n v="6.44"/>
    <n v="3.08"/>
    <n v="3.36"/>
    <x v="4"/>
    <s v="Google Pay"/>
    <x v="0"/>
    <s v="Light"/>
  </r>
  <r>
    <s v="ORD-00213"/>
    <x v="26"/>
    <s v="Q1"/>
    <s v="Thursday"/>
    <x v="3"/>
    <s v="(12pm-6pm)"/>
    <s v="MA-001"/>
    <x v="6"/>
    <s v="Natick"/>
    <s v="MA"/>
    <x v="2"/>
    <x v="5"/>
    <s v="McChicken"/>
    <n v="1"/>
    <n v="3.32"/>
    <n v="3.32"/>
    <n v="0"/>
    <n v="3.32"/>
    <n v="1.26"/>
    <n v="2.06"/>
    <x v="3"/>
    <s v="Google Pay"/>
    <x v="0"/>
    <s v="Light"/>
  </r>
  <r>
    <s v="ORD-00343"/>
    <x v="26"/>
    <s v="Q1"/>
    <s v="Thursday"/>
    <x v="0"/>
    <s v="(6am-12pm)"/>
    <s v="MA-002"/>
    <x v="4"/>
    <s v="Framingham"/>
    <s v="MA"/>
    <x v="2"/>
    <x v="3"/>
    <s v="McFlurry M&amp;M"/>
    <n v="2"/>
    <n v="3.9"/>
    <n v="7.8"/>
    <n v="0"/>
    <n v="7.8"/>
    <n v="2.81"/>
    <n v="4.99"/>
    <x v="3"/>
    <s v="Debit Card"/>
    <x v="0"/>
    <s v="Light"/>
  </r>
  <r>
    <s v="ORD-00219"/>
    <x v="26"/>
    <s v="Q1"/>
    <s v="Thursday"/>
    <x v="3"/>
    <s v="(12pm-6pm)"/>
    <s v="MA-005"/>
    <x v="2"/>
    <s v="Watertown"/>
    <s v="MA"/>
    <x v="0"/>
    <x v="2"/>
    <s v="Big Mac Combo"/>
    <n v="1"/>
    <n v="10.71"/>
    <n v="10.71"/>
    <n v="0"/>
    <n v="10.71"/>
    <n v="4.1900000000000004"/>
    <n v="6.52"/>
    <x v="3"/>
    <s v="EBT"/>
    <x v="1"/>
    <s v="Light"/>
  </r>
  <r>
    <s v="ORD-00047"/>
    <x v="27"/>
    <s v="Q1"/>
    <s v="Friday"/>
    <x v="1"/>
    <s v="(12am-6am)"/>
    <s v="MA-005"/>
    <x v="2"/>
    <s v="Watertown"/>
    <s v="MA"/>
    <x v="0"/>
    <x v="0"/>
    <s v="McCafe Frappe"/>
    <n v="1"/>
    <n v="4.5999999999999996"/>
    <n v="4.5999999999999996"/>
    <n v="0"/>
    <n v="4.5999999999999996"/>
    <n v="1.75"/>
    <n v="2.85"/>
    <x v="2"/>
    <s v="EBT"/>
    <x v="1"/>
    <s v="Light"/>
  </r>
  <r>
    <s v="ORD-00311"/>
    <x v="28"/>
    <s v="Q1"/>
    <s v="Saturday"/>
    <x v="3"/>
    <s v="(12pm-6pm)"/>
    <s v="MA-007"/>
    <x v="7"/>
    <s v="Burlington"/>
    <s v="MA"/>
    <x v="1"/>
    <x v="0"/>
    <s v="Bottled Water"/>
    <n v="1"/>
    <n v="1.5"/>
    <n v="1.5"/>
    <n v="0"/>
    <n v="1.5"/>
    <n v="0.74"/>
    <n v="0.76"/>
    <x v="4"/>
    <s v="Debit Card"/>
    <x v="0"/>
    <s v="Light"/>
  </r>
  <r>
    <s v="ORD-00206"/>
    <x v="28"/>
    <s v="Q1"/>
    <s v="Saturday"/>
    <x v="1"/>
    <s v="(12am-6am)"/>
    <s v="MA-008"/>
    <x v="1"/>
    <s v="Peabody"/>
    <s v="MA"/>
    <x v="1"/>
    <x v="3"/>
    <s v="McFlurry Oreo"/>
    <n v="2"/>
    <n v="3.86"/>
    <n v="7.72"/>
    <n v="0"/>
    <n v="7.72"/>
    <n v="3.28"/>
    <n v="4.4400000000000004"/>
    <x v="0"/>
    <s v="Google Pay"/>
    <x v="1"/>
    <s v="Light"/>
  </r>
  <r>
    <s v="ORD-00089"/>
    <x v="28"/>
    <s v="Q1"/>
    <s v="Saturday"/>
    <x v="3"/>
    <s v="(12pm-6pm)"/>
    <s v="MA-010"/>
    <x v="8"/>
    <s v="Hyannis"/>
    <s v="MA"/>
    <x v="4"/>
    <x v="4"/>
    <s v="Side Salad"/>
    <n v="2"/>
    <n v="3.29"/>
    <n v="6.58"/>
    <n v="0.33"/>
    <n v="6.25"/>
    <n v="2.48"/>
    <n v="3.77"/>
    <x v="1"/>
    <s v="Cash"/>
    <x v="0"/>
    <s v="Light"/>
  </r>
  <r>
    <s v="ORD-00217"/>
    <x v="29"/>
    <s v="Q1"/>
    <s v="Sunday"/>
    <x v="3"/>
    <s v="(12pm-6pm)"/>
    <s v="MA-001"/>
    <x v="6"/>
    <s v="Natick"/>
    <s v="MA"/>
    <x v="2"/>
    <x v="5"/>
    <s v="McChicken"/>
    <n v="1"/>
    <n v="3.3"/>
    <n v="3.3"/>
    <n v="0"/>
    <n v="3.3"/>
    <n v="1.1599999999999999"/>
    <n v="2.14"/>
    <x v="3"/>
    <s v="Debit Card"/>
    <x v="1"/>
    <s v="Light"/>
  </r>
  <r>
    <s v="ORD-00193"/>
    <x v="29"/>
    <s v="Q1"/>
    <s v="Sunday"/>
    <x v="0"/>
    <s v="(6am-12pm)"/>
    <s v="MA-009"/>
    <x v="5"/>
    <s v="Kingston"/>
    <s v="MA"/>
    <x v="3"/>
    <x v="4"/>
    <s v="Side Salad"/>
    <n v="3"/>
    <n v="3.21"/>
    <n v="9.6300000000000008"/>
    <n v="0.48"/>
    <n v="9.15"/>
    <n v="3.32"/>
    <n v="5.83"/>
    <x v="0"/>
    <s v="Google Pay"/>
    <x v="0"/>
    <s v="Light"/>
  </r>
  <r>
    <s v="ORD-00150"/>
    <x v="30"/>
    <s v="Q1"/>
    <s v="Monday"/>
    <x v="2"/>
    <s v="(6pm-12am)"/>
    <s v="MA-007"/>
    <x v="7"/>
    <s v="Burlington"/>
    <s v="MA"/>
    <x v="1"/>
    <x v="5"/>
    <s v="McChicken"/>
    <n v="2"/>
    <n v="3.35"/>
    <n v="6.7"/>
    <n v="0.34"/>
    <n v="6.36"/>
    <n v="2.63"/>
    <n v="3.73"/>
    <x v="4"/>
    <s v="Cash"/>
    <x v="0"/>
    <s v="Light"/>
  </r>
  <r>
    <s v="ORD-00285"/>
    <x v="31"/>
    <s v="Q1"/>
    <s v="Tuesday"/>
    <x v="1"/>
    <s v="(12am-6am)"/>
    <s v="MA-010"/>
    <x v="8"/>
    <s v="Hyannis"/>
    <s v="MA"/>
    <x v="4"/>
    <x v="2"/>
    <s v="Quarter Pounder Combo"/>
    <n v="4"/>
    <n v="10.71"/>
    <n v="42.84"/>
    <n v="8.57"/>
    <n v="34.270000000000003"/>
    <n v="13.35"/>
    <n v="20.92"/>
    <x v="1"/>
    <s v="Apple Pay"/>
    <x v="2"/>
    <s v="Aggressive"/>
  </r>
  <r>
    <s v="ORD-00303"/>
    <x v="32"/>
    <s v="Q1"/>
    <s v="Saturday"/>
    <x v="1"/>
    <s v="(12am-6am)"/>
    <s v="MA-006"/>
    <x v="9"/>
    <s v="Marlborough"/>
    <s v="MA"/>
    <x v="2"/>
    <x v="2"/>
    <s v="Happy Meal"/>
    <n v="3"/>
    <n v="6.96"/>
    <n v="20.88"/>
    <n v="1.04"/>
    <n v="19.84"/>
    <n v="9.35"/>
    <n v="10.49"/>
    <x v="2"/>
    <s v="Credit Card"/>
    <x v="2"/>
    <s v="Light"/>
  </r>
  <r>
    <s v="ORD-00033"/>
    <x v="33"/>
    <s v="Q1"/>
    <s v="Thursday"/>
    <x v="3"/>
    <s v="(12pm-6pm)"/>
    <s v="MA-006"/>
    <x v="9"/>
    <s v="Marlborough"/>
    <s v="MA"/>
    <x v="2"/>
    <x v="2"/>
    <s v="Happy Meal"/>
    <n v="5"/>
    <n v="7.09"/>
    <n v="35.450000000000003"/>
    <n v="5.32"/>
    <n v="30.13"/>
    <n v="11.97"/>
    <n v="18.16"/>
    <x v="3"/>
    <s v="Credit Card"/>
    <x v="4"/>
    <s v="Heavy"/>
  </r>
  <r>
    <s v="ORD-00146"/>
    <x v="34"/>
    <s v="Q1"/>
    <s v="Friday"/>
    <x v="2"/>
    <s v="(6pm-12am)"/>
    <s v="MA-010"/>
    <x v="8"/>
    <s v="Hyannis"/>
    <s v="MA"/>
    <x v="4"/>
    <x v="1"/>
    <s v="Cappuccino"/>
    <n v="1"/>
    <n v="3.95"/>
    <n v="3.95"/>
    <n v="0"/>
    <n v="3.95"/>
    <n v="1.89"/>
    <n v="2.06"/>
    <x v="1"/>
    <s v="Apple Pay"/>
    <x v="0"/>
    <s v="Light"/>
  </r>
  <r>
    <s v="ORD-00013"/>
    <x v="35"/>
    <s v="Q1"/>
    <s v="Saturday"/>
    <x v="2"/>
    <s v="(6pm-12am)"/>
    <s v="MA-005"/>
    <x v="2"/>
    <s v="Watertown"/>
    <s v="MA"/>
    <x v="0"/>
    <x v="1"/>
    <s v="Croissant"/>
    <n v="2"/>
    <n v="2.93"/>
    <n v="5.86"/>
    <n v="0.59"/>
    <n v="5.27"/>
    <n v="2.41"/>
    <n v="2.86"/>
    <x v="0"/>
    <s v="Debit Card"/>
    <x v="0"/>
    <s v="Moderate"/>
  </r>
  <r>
    <s v="ORD-00143"/>
    <x v="36"/>
    <s v="Q1"/>
    <s v="Monday"/>
    <x v="0"/>
    <s v="(6am-12pm)"/>
    <s v="MA-008"/>
    <x v="1"/>
    <s v="Peabody"/>
    <s v="MA"/>
    <x v="1"/>
    <x v="2"/>
    <s v="Big Mac Combo"/>
    <n v="2"/>
    <n v="10.54"/>
    <n v="21.08"/>
    <n v="2.11"/>
    <n v="18.97"/>
    <n v="7.74"/>
    <n v="11.23"/>
    <x v="4"/>
    <s v="Google Pay"/>
    <x v="0"/>
    <s v="Moderate"/>
  </r>
  <r>
    <s v="ORD-00200"/>
    <x v="37"/>
    <s v="Q1"/>
    <s v="Tuesday"/>
    <x v="2"/>
    <s v="(6pm-12am)"/>
    <s v="MA-001"/>
    <x v="6"/>
    <s v="Natick"/>
    <s v="MA"/>
    <x v="2"/>
    <x v="1"/>
    <s v="Blueberry Muffin"/>
    <n v="2"/>
    <n v="2.56"/>
    <n v="5.12"/>
    <n v="0.77"/>
    <n v="4.3499999999999996"/>
    <n v="1.73"/>
    <n v="2.62"/>
    <x v="4"/>
    <s v="Debit Card"/>
    <x v="3"/>
    <s v="Heavy"/>
  </r>
  <r>
    <s v="ORD-00055"/>
    <x v="38"/>
    <s v="Q1"/>
    <s v="Wednesday"/>
    <x v="2"/>
    <s v="(6pm-12am)"/>
    <s v="MA-003"/>
    <x v="3"/>
    <s v="Boston"/>
    <s v="MA"/>
    <x v="0"/>
    <x v="3"/>
    <s v="McFlurry Oreo"/>
    <n v="2"/>
    <n v="3.89"/>
    <n v="7.78"/>
    <n v="0.39"/>
    <n v="7.39"/>
    <n v="3.93"/>
    <n v="3.46"/>
    <x v="2"/>
    <s v="Apple Pay"/>
    <x v="2"/>
    <s v="Light"/>
  </r>
  <r>
    <s v="ORD-00106"/>
    <x v="38"/>
    <s v="Q1"/>
    <s v="Wednesday"/>
    <x v="2"/>
    <s v="(6pm-12am)"/>
    <s v="MA-002"/>
    <x v="4"/>
    <s v="Framingham"/>
    <s v="MA"/>
    <x v="2"/>
    <x v="4"/>
    <s v="McNuggets 10pc"/>
    <n v="3"/>
    <n v="6.5"/>
    <n v="19.5"/>
    <n v="0"/>
    <n v="19.5"/>
    <n v="8.7899999999999991"/>
    <n v="10.71"/>
    <x v="0"/>
    <s v="Debit Card"/>
    <x v="1"/>
    <s v="Light"/>
  </r>
  <r>
    <s v="ORD-00096"/>
    <x v="38"/>
    <s v="Q1"/>
    <s v="Wednesday"/>
    <x v="0"/>
    <s v="(6am-12pm)"/>
    <s v="MA-008"/>
    <x v="1"/>
    <s v="Peabody"/>
    <s v="MA"/>
    <x v="1"/>
    <x v="5"/>
    <s v="Quarter Pounder w/ Cheese"/>
    <n v="3"/>
    <n v="5.89"/>
    <n v="17.670000000000002"/>
    <n v="0.88"/>
    <n v="16.79"/>
    <n v="8.14"/>
    <n v="8.65"/>
    <x v="2"/>
    <s v="Google Pay"/>
    <x v="2"/>
    <s v="Light"/>
  </r>
  <r>
    <s v="ORD-00247"/>
    <x v="38"/>
    <s v="Q1"/>
    <s v="Wednesday"/>
    <x v="1"/>
    <s v="(12am-6am)"/>
    <s v="MA-005"/>
    <x v="2"/>
    <s v="Watertown"/>
    <s v="MA"/>
    <x v="0"/>
    <x v="2"/>
    <s v="Quarter Pounder Combo"/>
    <n v="2"/>
    <n v="11.16"/>
    <n v="22.32"/>
    <n v="2.23"/>
    <n v="20.09"/>
    <n v="8.8000000000000007"/>
    <n v="11.29"/>
    <x v="3"/>
    <s v="Apple Pay"/>
    <x v="1"/>
    <s v="Moderate"/>
  </r>
  <r>
    <s v="ORD-00243"/>
    <x v="39"/>
    <s v="Q1"/>
    <s v="Thursday"/>
    <x v="2"/>
    <s v="(6pm-12am)"/>
    <s v="MA-003"/>
    <x v="3"/>
    <s v="Boston"/>
    <s v="MA"/>
    <x v="0"/>
    <x v="3"/>
    <s v="McFlurry M&amp;M"/>
    <n v="2"/>
    <n v="3.77"/>
    <n v="7.54"/>
    <n v="0"/>
    <n v="7.54"/>
    <n v="3.22"/>
    <n v="4.32"/>
    <x v="3"/>
    <s v="Apple Pay"/>
    <x v="0"/>
    <s v="Light"/>
  </r>
  <r>
    <s v="ORD-00077"/>
    <x v="39"/>
    <s v="Q1"/>
    <s v="Thursday"/>
    <x v="3"/>
    <s v="(12pm-6pm)"/>
    <s v="MA-007"/>
    <x v="7"/>
    <s v="Burlington"/>
    <s v="MA"/>
    <x v="1"/>
    <x v="2"/>
    <s v="Big Mac Combo"/>
    <n v="2"/>
    <n v="10.52"/>
    <n v="21.04"/>
    <n v="0"/>
    <n v="21.04"/>
    <n v="8.15"/>
    <n v="12.89"/>
    <x v="5"/>
    <s v="Google Pay"/>
    <x v="0"/>
    <s v="Light"/>
  </r>
  <r>
    <s v="ORD-00208"/>
    <x v="40"/>
    <s v="Q1"/>
    <s v="Friday"/>
    <x v="3"/>
    <s v="(12pm-6pm)"/>
    <s v="MA-008"/>
    <x v="1"/>
    <s v="Peabody"/>
    <s v="MA"/>
    <x v="1"/>
    <x v="0"/>
    <s v="Bottled Water"/>
    <n v="2"/>
    <n v="1.46"/>
    <n v="2.92"/>
    <n v="0.44"/>
    <n v="2.48"/>
    <n v="1.1399999999999999"/>
    <n v="1.34"/>
    <x v="5"/>
    <s v="Apple Pay"/>
    <x v="0"/>
    <s v="Heavy"/>
  </r>
  <r>
    <s v="ORD-00269"/>
    <x v="41"/>
    <s v="Q1"/>
    <s v="Saturday"/>
    <x v="1"/>
    <s v="(12am-6am)"/>
    <s v="MA-001"/>
    <x v="6"/>
    <s v="Natick"/>
    <s v="MA"/>
    <x v="2"/>
    <x v="1"/>
    <s v="Latte"/>
    <n v="3"/>
    <n v="3.71"/>
    <n v="11.13"/>
    <n v="2.23"/>
    <n v="8.9"/>
    <n v="4.05"/>
    <n v="4.8499999999999996"/>
    <x v="1"/>
    <s v="Cash"/>
    <x v="0"/>
    <s v="Aggressive"/>
  </r>
  <r>
    <s v="ORD-00158"/>
    <x v="42"/>
    <s v="Q1"/>
    <s v="Sunday"/>
    <x v="2"/>
    <s v="(6pm-12am)"/>
    <s v="MA-004"/>
    <x v="0"/>
    <s v="Boston"/>
    <s v="MA"/>
    <x v="0"/>
    <x v="0"/>
    <s v="Soft Drink L"/>
    <n v="3"/>
    <n v="2.42"/>
    <n v="7.26"/>
    <n v="0.36"/>
    <n v="6.9"/>
    <n v="2.92"/>
    <n v="3.98"/>
    <x v="0"/>
    <s v="Credit Card"/>
    <x v="1"/>
    <s v="Light"/>
  </r>
  <r>
    <s v="ORD-00339"/>
    <x v="43"/>
    <s v="Q1"/>
    <s v="Monday"/>
    <x v="1"/>
    <s v="(12am-6am)"/>
    <s v="MA-009"/>
    <x v="5"/>
    <s v="Kingston"/>
    <s v="MA"/>
    <x v="3"/>
    <x v="3"/>
    <s v="Apple Pie"/>
    <n v="3"/>
    <n v="1.46"/>
    <n v="4.38"/>
    <n v="0.22"/>
    <n v="4.16"/>
    <n v="1.46"/>
    <n v="2.7"/>
    <x v="2"/>
    <s v="EBT"/>
    <x v="1"/>
    <s v="Light"/>
  </r>
  <r>
    <s v="ORD-00066"/>
    <x v="44"/>
    <s v="Q1"/>
    <s v="Tuesday"/>
    <x v="3"/>
    <s v="(12pm-6pm)"/>
    <s v="MA-008"/>
    <x v="1"/>
    <s v="Peabody"/>
    <s v="MA"/>
    <x v="1"/>
    <x v="5"/>
    <s v="Big Mac"/>
    <n v="2"/>
    <n v="6.48"/>
    <n v="12.96"/>
    <n v="0"/>
    <n v="12.96"/>
    <n v="5.01"/>
    <n v="7.95"/>
    <x v="4"/>
    <s v="Cash"/>
    <x v="2"/>
    <s v="Light"/>
  </r>
  <r>
    <s v="ORD-00051"/>
    <x v="45"/>
    <s v="Q1"/>
    <s v="Wednesday"/>
    <x v="3"/>
    <s v="(12pm-6pm)"/>
    <s v="MA-010"/>
    <x v="8"/>
    <s v="Hyannis"/>
    <s v="MA"/>
    <x v="4"/>
    <x v="2"/>
    <s v="Big Mac Combo"/>
    <n v="4"/>
    <n v="10.55"/>
    <n v="42.2"/>
    <n v="2.11"/>
    <n v="40.090000000000003"/>
    <n v="14.7"/>
    <n v="25.39"/>
    <x v="2"/>
    <s v="Credit Card"/>
    <x v="2"/>
    <s v="Light"/>
  </r>
  <r>
    <s v="ORD-00095"/>
    <x v="46"/>
    <s v="Q1"/>
    <s v="Friday"/>
    <x v="2"/>
    <s v="(6pm-12am)"/>
    <s v="MA-009"/>
    <x v="5"/>
    <s v="Kingston"/>
    <s v="MA"/>
    <x v="3"/>
    <x v="3"/>
    <s v="Soft Serve Cone"/>
    <n v="2"/>
    <n v="0.99"/>
    <n v="1.98"/>
    <n v="0"/>
    <n v="1.98"/>
    <n v="1.05"/>
    <n v="0.93"/>
    <x v="2"/>
    <s v="Cash"/>
    <x v="1"/>
    <s v="Light"/>
  </r>
  <r>
    <s v="ORD-00337"/>
    <x v="46"/>
    <s v="Q1"/>
    <s v="Friday"/>
    <x v="2"/>
    <s v="(6pm-12am)"/>
    <s v="MA-004"/>
    <x v="0"/>
    <s v="Boston"/>
    <s v="MA"/>
    <x v="0"/>
    <x v="1"/>
    <s v="Espresso"/>
    <n v="2"/>
    <n v="1.95"/>
    <n v="3.9"/>
    <n v="0"/>
    <n v="3.9"/>
    <n v="1.87"/>
    <n v="2.0299999999999998"/>
    <x v="4"/>
    <s v="Apple Pay"/>
    <x v="0"/>
    <s v="Light"/>
  </r>
  <r>
    <s v="ORD-00134"/>
    <x v="47"/>
    <s v="Q1"/>
    <s v="Monday"/>
    <x v="2"/>
    <s v="(6pm-12am)"/>
    <s v="MA-003"/>
    <x v="3"/>
    <s v="Boston"/>
    <s v="MA"/>
    <x v="0"/>
    <x v="5"/>
    <s v="McDouble"/>
    <n v="3"/>
    <n v="3.41"/>
    <n v="10.23"/>
    <n v="1.02"/>
    <n v="9.2100000000000009"/>
    <n v="4.76"/>
    <n v="4.45"/>
    <x v="0"/>
    <s v="Debit Card"/>
    <x v="0"/>
    <s v="Moderate"/>
  </r>
  <r>
    <s v="ORD-00178"/>
    <x v="47"/>
    <s v="Q1"/>
    <s v="Monday"/>
    <x v="3"/>
    <s v="(12pm-6pm)"/>
    <s v="MA-009"/>
    <x v="5"/>
    <s v="Kingston"/>
    <s v="MA"/>
    <x v="3"/>
    <x v="0"/>
    <s v="Orange Juice"/>
    <n v="1"/>
    <n v="2.82"/>
    <n v="2.82"/>
    <n v="0.14000000000000001"/>
    <n v="2.68"/>
    <n v="1.1100000000000001"/>
    <n v="1.57"/>
    <x v="3"/>
    <s v="Apple Pay"/>
    <x v="0"/>
    <s v="Light"/>
  </r>
  <r>
    <s v="ORD-00010"/>
    <x v="47"/>
    <s v="Q1"/>
    <s v="Monday"/>
    <x v="2"/>
    <s v="(6pm-12am)"/>
    <s v="MA-009"/>
    <x v="5"/>
    <s v="Kingston"/>
    <s v="MA"/>
    <x v="3"/>
    <x v="4"/>
    <s v="Medium Fries"/>
    <n v="3"/>
    <n v="2.85"/>
    <n v="8.5500000000000007"/>
    <n v="0"/>
    <n v="8.5500000000000007"/>
    <n v="3.27"/>
    <n v="5.28"/>
    <x v="1"/>
    <s v="Apple Pay"/>
    <x v="3"/>
    <s v="Light"/>
  </r>
  <r>
    <s v="ORD-00173"/>
    <x v="48"/>
    <s v="Q1"/>
    <s v="Tuesday"/>
    <x v="3"/>
    <s v="(12pm-6pm)"/>
    <s v="MA-006"/>
    <x v="9"/>
    <s v="Marlborough"/>
    <s v="MA"/>
    <x v="2"/>
    <x v="2"/>
    <s v="Quarter Pounder Combo"/>
    <n v="1"/>
    <n v="11.31"/>
    <n v="11.31"/>
    <n v="1.1299999999999999"/>
    <n v="10.18"/>
    <n v="4.17"/>
    <n v="6.01"/>
    <x v="5"/>
    <s v="Google Pay"/>
    <x v="0"/>
    <s v="Moderate"/>
  </r>
  <r>
    <s v="ORD-00232"/>
    <x v="48"/>
    <s v="Q1"/>
    <s v="Tuesday"/>
    <x v="2"/>
    <s v="(6pm-12am)"/>
    <s v="MA-005"/>
    <x v="2"/>
    <s v="Watertown"/>
    <s v="MA"/>
    <x v="0"/>
    <x v="0"/>
    <s v="McCafe Frappe"/>
    <n v="2"/>
    <n v="4.55"/>
    <n v="9.1"/>
    <n v="0.91"/>
    <n v="8.19"/>
    <n v="2.99"/>
    <n v="5.2"/>
    <x v="0"/>
    <s v="Apple Pay"/>
    <x v="0"/>
    <s v="Moderate"/>
  </r>
  <r>
    <s v="ORD-00284"/>
    <x v="48"/>
    <s v="Q1"/>
    <s v="Tuesday"/>
    <x v="2"/>
    <s v="(6pm-12am)"/>
    <s v="MA-002"/>
    <x v="4"/>
    <s v="Framingham"/>
    <s v="MA"/>
    <x v="2"/>
    <x v="5"/>
    <s v="Big Mac"/>
    <n v="3"/>
    <n v="6.68"/>
    <n v="20.04"/>
    <n v="0"/>
    <n v="20.04"/>
    <n v="10.32"/>
    <n v="9.7200000000000006"/>
    <x v="5"/>
    <s v="EBT"/>
    <x v="1"/>
    <s v="Light"/>
  </r>
  <r>
    <s v="ORD-00189"/>
    <x v="48"/>
    <s v="Q1"/>
    <s v="Tuesday"/>
    <x v="2"/>
    <s v="(6pm-12am)"/>
    <s v="MA-008"/>
    <x v="1"/>
    <s v="Peabody"/>
    <s v="MA"/>
    <x v="1"/>
    <x v="3"/>
    <s v="McFlurry M&amp;M"/>
    <n v="1"/>
    <n v="3.76"/>
    <n v="3.76"/>
    <n v="0"/>
    <n v="3.76"/>
    <n v="1.52"/>
    <n v="2.2400000000000002"/>
    <x v="5"/>
    <s v="Cash"/>
    <x v="1"/>
    <s v="Light"/>
  </r>
  <r>
    <s v="ORD-00326"/>
    <x v="48"/>
    <s v="Q1"/>
    <s v="Tuesday"/>
    <x v="2"/>
    <s v="(6pm-12am)"/>
    <s v="MA-001"/>
    <x v="6"/>
    <s v="Natick"/>
    <s v="MA"/>
    <x v="2"/>
    <x v="1"/>
    <s v="Blueberry Muffin"/>
    <n v="5"/>
    <n v="2.4500000000000002"/>
    <n v="12.25"/>
    <n v="0"/>
    <n v="12.25"/>
    <n v="5.24"/>
    <n v="7.01"/>
    <x v="4"/>
    <s v="Google Pay"/>
    <x v="1"/>
    <s v="Light"/>
  </r>
  <r>
    <s v="ORD-00313"/>
    <x v="49"/>
    <s v="Q1"/>
    <s v="Saturday"/>
    <x v="3"/>
    <s v="(12pm-6pm)"/>
    <s v="MA-010"/>
    <x v="8"/>
    <s v="Hyannis"/>
    <s v="MA"/>
    <x v="4"/>
    <x v="2"/>
    <s v="Big Mac Combo"/>
    <n v="4"/>
    <n v="10.53"/>
    <n v="42.12"/>
    <n v="0"/>
    <n v="42.12"/>
    <n v="17.149999999999999"/>
    <n v="24.97"/>
    <x v="0"/>
    <s v="Cash"/>
    <x v="0"/>
    <s v="Light"/>
  </r>
  <r>
    <s v="ORD-00194"/>
    <x v="50"/>
    <s v="Q1"/>
    <s v="Sunday"/>
    <x v="1"/>
    <s v="(12am-6am)"/>
    <s v="MA-003"/>
    <x v="3"/>
    <s v="Boston"/>
    <s v="MA"/>
    <x v="0"/>
    <x v="3"/>
    <s v="Soft Serve Cone"/>
    <n v="2"/>
    <n v="1.01"/>
    <n v="2.02"/>
    <n v="0.2"/>
    <n v="1.82"/>
    <n v="0.81"/>
    <n v="1.01"/>
    <x v="0"/>
    <s v="Apple Pay"/>
    <x v="0"/>
    <s v="Moderate"/>
  </r>
  <r>
    <s v="ORD-00080"/>
    <x v="51"/>
    <s v="Q1"/>
    <s v="Tuesday"/>
    <x v="3"/>
    <s v="(12pm-6pm)"/>
    <s v="MA-008"/>
    <x v="1"/>
    <s v="Peabody"/>
    <s v="MA"/>
    <x v="1"/>
    <x v="1"/>
    <s v="Cappuccino"/>
    <n v="2"/>
    <n v="3.94"/>
    <n v="7.88"/>
    <n v="0.79"/>
    <n v="7.09"/>
    <n v="3.87"/>
    <n v="3.22"/>
    <x v="3"/>
    <s v="Apple Pay"/>
    <x v="2"/>
    <s v="Moderate"/>
  </r>
  <r>
    <s v="ORD-00070"/>
    <x v="52"/>
    <s v="Q1"/>
    <s v="Thursday"/>
    <x v="3"/>
    <s v="(12pm-6pm)"/>
    <s v="MA-001"/>
    <x v="6"/>
    <s v="Natick"/>
    <s v="MA"/>
    <x v="2"/>
    <x v="4"/>
    <s v="McNuggets 10pc"/>
    <n v="2"/>
    <n v="6.48"/>
    <n v="12.96"/>
    <n v="0"/>
    <n v="12.96"/>
    <n v="5.28"/>
    <n v="7.68"/>
    <x v="5"/>
    <s v="EBT"/>
    <x v="3"/>
    <s v="Light"/>
  </r>
  <r>
    <s v="ORD-00168"/>
    <x v="53"/>
    <s v="Q1"/>
    <s v="Friday"/>
    <x v="0"/>
    <s v="(6am-12pm)"/>
    <s v="MA-008"/>
    <x v="1"/>
    <s v="Peabody"/>
    <s v="MA"/>
    <x v="1"/>
    <x v="2"/>
    <s v="Happy Meal"/>
    <n v="2"/>
    <n v="6.91"/>
    <n v="13.82"/>
    <n v="0"/>
    <n v="13.82"/>
    <n v="7.45"/>
    <n v="6.37"/>
    <x v="0"/>
    <s v="Apple Pay"/>
    <x v="2"/>
    <s v="Light"/>
  </r>
  <r>
    <s v="ORD-00333"/>
    <x v="53"/>
    <s v="Q1"/>
    <s v="Friday"/>
    <x v="1"/>
    <s v="(12am-6am)"/>
    <s v="MA-008"/>
    <x v="1"/>
    <s v="Peabody"/>
    <s v="MA"/>
    <x v="1"/>
    <x v="5"/>
    <s v="Quarter Pounder w/ Cheese"/>
    <n v="2"/>
    <n v="6.04"/>
    <n v="12.08"/>
    <n v="0"/>
    <n v="12.08"/>
    <n v="6.56"/>
    <n v="5.52"/>
    <x v="2"/>
    <s v="Debit Card"/>
    <x v="0"/>
    <s v="Light"/>
  </r>
  <r>
    <s v="ORD-00046"/>
    <x v="53"/>
    <s v="Q1"/>
    <s v="Friday"/>
    <x v="0"/>
    <s v="(6am-12pm)"/>
    <s v="MA-008"/>
    <x v="1"/>
    <s v="Peabody"/>
    <s v="MA"/>
    <x v="1"/>
    <x v="4"/>
    <s v="McNuggets 6pc"/>
    <n v="3"/>
    <n v="4.58"/>
    <n v="13.74"/>
    <n v="0"/>
    <n v="13.74"/>
    <n v="6.95"/>
    <n v="6.79"/>
    <x v="2"/>
    <s v="EBT"/>
    <x v="0"/>
    <s v="Light"/>
  </r>
  <r>
    <s v="ORD-00291"/>
    <x v="53"/>
    <s v="Q1"/>
    <s v="Friday"/>
    <x v="3"/>
    <s v="(12pm-6pm)"/>
    <s v="MA-002"/>
    <x v="4"/>
    <s v="Framingham"/>
    <s v="MA"/>
    <x v="2"/>
    <x v="0"/>
    <s v="Bottled Water"/>
    <n v="1"/>
    <n v="1.49"/>
    <n v="1.49"/>
    <n v="0.15"/>
    <n v="1.34"/>
    <n v="0.67"/>
    <n v="0.67"/>
    <x v="3"/>
    <s v="Google Pay"/>
    <x v="0"/>
    <s v="Moderate"/>
  </r>
  <r>
    <s v="ORD-00076"/>
    <x v="54"/>
    <s v="Q1"/>
    <s v="Saturday"/>
    <x v="0"/>
    <s v="(6am-12pm)"/>
    <s v="MA-006"/>
    <x v="9"/>
    <s v="Marlborough"/>
    <s v="MA"/>
    <x v="2"/>
    <x v="4"/>
    <s v="McNuggets 10pc"/>
    <n v="1"/>
    <n v="6.66"/>
    <n v="6.66"/>
    <n v="0.67"/>
    <n v="5.99"/>
    <n v="2.76"/>
    <n v="3.23"/>
    <x v="2"/>
    <s v="Debit Card"/>
    <x v="0"/>
    <s v="Moderate"/>
  </r>
  <r>
    <s v="ORD-00176"/>
    <x v="55"/>
    <s v="Q1"/>
    <s v="Thursday"/>
    <x v="1"/>
    <s v="(12am-6am)"/>
    <s v="MA-009"/>
    <x v="5"/>
    <s v="Kingston"/>
    <s v="MA"/>
    <x v="3"/>
    <x v="1"/>
    <s v="Croissant"/>
    <n v="3"/>
    <n v="2.97"/>
    <n v="8.91"/>
    <n v="0.89"/>
    <n v="8.02"/>
    <n v="3.2"/>
    <n v="4.82"/>
    <x v="0"/>
    <s v="EBT"/>
    <x v="2"/>
    <s v="Moderate"/>
  </r>
  <r>
    <s v="ORD-00292"/>
    <x v="56"/>
    <s v="Q1"/>
    <s v="Friday"/>
    <x v="0"/>
    <s v="(6am-12pm)"/>
    <s v="MA-003"/>
    <x v="3"/>
    <s v="Boston"/>
    <s v="MA"/>
    <x v="0"/>
    <x v="0"/>
    <s v="Orange Juice"/>
    <n v="1"/>
    <n v="2.83"/>
    <n v="2.83"/>
    <n v="0"/>
    <n v="2.83"/>
    <n v="1.33"/>
    <n v="1.5"/>
    <x v="1"/>
    <s v="EBT"/>
    <x v="1"/>
    <s v="Light"/>
  </r>
  <r>
    <s v="ORD-00287"/>
    <x v="56"/>
    <s v="Q1"/>
    <s v="Friday"/>
    <x v="2"/>
    <s v="(6pm-12am)"/>
    <s v="MA-006"/>
    <x v="9"/>
    <s v="Marlborough"/>
    <s v="MA"/>
    <x v="2"/>
    <x v="0"/>
    <s v="Soft Drink L"/>
    <n v="1"/>
    <n v="2.48"/>
    <n v="2.48"/>
    <n v="0"/>
    <n v="2.48"/>
    <n v="1.17"/>
    <n v="1.31"/>
    <x v="0"/>
    <s v="Credit Card"/>
    <x v="0"/>
    <s v="Light"/>
  </r>
  <r>
    <s v="ORD-00297"/>
    <x v="57"/>
    <s v="Q1"/>
    <s v="Saturday"/>
    <x v="2"/>
    <s v="(6pm-12am)"/>
    <s v="MA-009"/>
    <x v="5"/>
    <s v="Kingston"/>
    <s v="MA"/>
    <x v="3"/>
    <x v="1"/>
    <s v="Croissant"/>
    <n v="3"/>
    <n v="2.94"/>
    <n v="8.82"/>
    <n v="0.44"/>
    <n v="8.3800000000000008"/>
    <n v="3.23"/>
    <n v="5.15"/>
    <x v="5"/>
    <s v="EBT"/>
    <x v="0"/>
    <s v="Light"/>
  </r>
  <r>
    <s v="ORD-00298"/>
    <x v="58"/>
    <s v="Q1"/>
    <s v="Sunday"/>
    <x v="2"/>
    <s v="(6pm-12am)"/>
    <s v="MA-001"/>
    <x v="6"/>
    <s v="Natick"/>
    <s v="MA"/>
    <x v="2"/>
    <x v="1"/>
    <s v="Croissant"/>
    <n v="1"/>
    <n v="3.08"/>
    <n v="3.08"/>
    <n v="0.62"/>
    <n v="2.46"/>
    <n v="0.88"/>
    <n v="1.58"/>
    <x v="0"/>
    <s v="Cash"/>
    <x v="2"/>
    <s v="Aggressive"/>
  </r>
  <r>
    <s v="ORD-00332"/>
    <x v="59"/>
    <s v="Q2"/>
    <s v="Tuesday"/>
    <x v="1"/>
    <s v="(12am-6am)"/>
    <s v="MA-002"/>
    <x v="4"/>
    <s v="Framingham"/>
    <s v="MA"/>
    <x v="2"/>
    <x v="4"/>
    <s v="McNuggets 6pc"/>
    <n v="2"/>
    <n v="4.4000000000000004"/>
    <n v="8.8000000000000007"/>
    <n v="0.44"/>
    <n v="8.36"/>
    <n v="2.93"/>
    <n v="5.43"/>
    <x v="5"/>
    <s v="Credit Card"/>
    <x v="0"/>
    <s v="Light"/>
  </r>
  <r>
    <s v="ORD-00197"/>
    <x v="59"/>
    <s v="Q2"/>
    <s v="Tuesday"/>
    <x v="1"/>
    <s v="(12am-6am)"/>
    <s v="MA-003"/>
    <x v="3"/>
    <s v="Boston"/>
    <s v="MA"/>
    <x v="0"/>
    <x v="1"/>
    <s v="Blueberry Muffin"/>
    <n v="1"/>
    <n v="2.5499999999999998"/>
    <n v="2.5499999999999998"/>
    <n v="0"/>
    <n v="2.5499999999999998"/>
    <n v="1.36"/>
    <n v="1.19"/>
    <x v="2"/>
    <s v="Apple Pay"/>
    <x v="1"/>
    <s v="Light"/>
  </r>
  <r>
    <s v="ORD-00231"/>
    <x v="59"/>
    <s v="Q2"/>
    <s v="Tuesday"/>
    <x v="3"/>
    <s v="(12pm-6pm)"/>
    <s v="MA-009"/>
    <x v="5"/>
    <s v="Kingston"/>
    <s v="MA"/>
    <x v="3"/>
    <x v="5"/>
    <s v="Double Quarter Pounder"/>
    <n v="2"/>
    <n v="8.09"/>
    <n v="16.18"/>
    <n v="0"/>
    <n v="16.18"/>
    <n v="6.61"/>
    <n v="9.57"/>
    <x v="1"/>
    <s v="Debit Card"/>
    <x v="1"/>
    <s v="Light"/>
  </r>
  <r>
    <s v="ORD-00147"/>
    <x v="60"/>
    <s v="Q2"/>
    <s v="Wednesday"/>
    <x v="0"/>
    <s v="(6am-12pm)"/>
    <s v="MA-003"/>
    <x v="3"/>
    <s v="Boston"/>
    <s v="MA"/>
    <x v="0"/>
    <x v="5"/>
    <s v="Double Quarter Pounder"/>
    <n v="3"/>
    <n v="7.97"/>
    <n v="23.91"/>
    <n v="0"/>
    <n v="23.91"/>
    <n v="8.58"/>
    <n v="15.33"/>
    <x v="3"/>
    <s v="Debit Card"/>
    <x v="1"/>
    <s v="Light"/>
  </r>
  <r>
    <s v="ORD-00083"/>
    <x v="61"/>
    <s v="Q2"/>
    <s v="Saturday"/>
    <x v="3"/>
    <s v="(12pm-6pm)"/>
    <s v="MA-004"/>
    <x v="0"/>
    <s v="Boston"/>
    <s v="MA"/>
    <x v="0"/>
    <x v="2"/>
    <s v="Happy Meal"/>
    <n v="1"/>
    <n v="7.11"/>
    <n v="7.11"/>
    <n v="0"/>
    <n v="7.11"/>
    <n v="3.55"/>
    <n v="3.56"/>
    <x v="1"/>
    <s v="Apple Pay"/>
    <x v="1"/>
    <s v="Light"/>
  </r>
  <r>
    <s v="ORD-00207"/>
    <x v="61"/>
    <s v="Q2"/>
    <s v="Saturday"/>
    <x v="0"/>
    <s v="(6am-12pm)"/>
    <s v="MA-010"/>
    <x v="8"/>
    <s v="Hyannis"/>
    <s v="MA"/>
    <x v="4"/>
    <x v="1"/>
    <s v="Croissant"/>
    <n v="1"/>
    <n v="2.94"/>
    <n v="2.94"/>
    <n v="0.44"/>
    <n v="2.5"/>
    <n v="1.03"/>
    <n v="1.47"/>
    <x v="4"/>
    <s v="Credit Card"/>
    <x v="1"/>
    <s v="Heavy"/>
  </r>
  <r>
    <s v="ORD-00317"/>
    <x v="61"/>
    <s v="Q2"/>
    <s v="Saturday"/>
    <x v="1"/>
    <s v="(12am-6am)"/>
    <s v="MA-008"/>
    <x v="1"/>
    <s v="Peabody"/>
    <s v="MA"/>
    <x v="1"/>
    <x v="0"/>
    <s v="McCafe Smoothie"/>
    <n v="3"/>
    <n v="4.05"/>
    <n v="12.15"/>
    <n v="1.82"/>
    <n v="10.33"/>
    <n v="5.31"/>
    <n v="5.0199999999999996"/>
    <x v="0"/>
    <s v="Credit Card"/>
    <x v="0"/>
    <s v="Heavy"/>
  </r>
  <r>
    <s v="ORD-00327"/>
    <x v="62"/>
    <s v="Q2"/>
    <s v="Sunday"/>
    <x v="0"/>
    <s v="(6am-12pm)"/>
    <s v="MA-006"/>
    <x v="9"/>
    <s v="Marlborough"/>
    <s v="MA"/>
    <x v="2"/>
    <x v="1"/>
    <s v="Latte"/>
    <n v="2"/>
    <n v="3.82"/>
    <n v="7.64"/>
    <n v="0"/>
    <n v="7.64"/>
    <n v="4.1100000000000003"/>
    <n v="3.53"/>
    <x v="5"/>
    <s v="Google Pay"/>
    <x v="1"/>
    <s v="Light"/>
  </r>
  <r>
    <s v="ORD-00019"/>
    <x v="62"/>
    <s v="Q2"/>
    <s v="Sunday"/>
    <x v="2"/>
    <s v="(6pm-12am)"/>
    <s v="MA-002"/>
    <x v="4"/>
    <s v="Framingham"/>
    <s v="MA"/>
    <x v="2"/>
    <x v="5"/>
    <s v="Double Quarter Pounder"/>
    <n v="2"/>
    <n v="7.95"/>
    <n v="15.9"/>
    <n v="0"/>
    <n v="15.9"/>
    <n v="7.88"/>
    <n v="8.02"/>
    <x v="1"/>
    <s v="EBT"/>
    <x v="2"/>
    <s v="Light"/>
  </r>
  <r>
    <s v="ORD-00081"/>
    <x v="62"/>
    <s v="Q2"/>
    <s v="Sunday"/>
    <x v="1"/>
    <s v="(12am-6am)"/>
    <s v="MA-010"/>
    <x v="8"/>
    <s v="Hyannis"/>
    <s v="MA"/>
    <x v="4"/>
    <x v="2"/>
    <s v="McChicken Combo"/>
    <n v="4"/>
    <n v="9.36"/>
    <n v="37.44"/>
    <n v="3.74"/>
    <n v="33.700000000000003"/>
    <n v="14.59"/>
    <n v="19.11"/>
    <x v="0"/>
    <s v="Cash"/>
    <x v="0"/>
    <s v="Moderate"/>
  </r>
  <r>
    <s v="ORD-00245"/>
    <x v="63"/>
    <s v="Q2"/>
    <s v="Tuesday"/>
    <x v="2"/>
    <s v="(6pm-12am)"/>
    <s v="MA-007"/>
    <x v="7"/>
    <s v="Burlington"/>
    <s v="MA"/>
    <x v="1"/>
    <x v="2"/>
    <s v="Happy Meal"/>
    <n v="2"/>
    <n v="6.99"/>
    <n v="13.98"/>
    <n v="1.4"/>
    <n v="12.58"/>
    <n v="5.52"/>
    <n v="7.06"/>
    <x v="3"/>
    <s v="Debit Card"/>
    <x v="3"/>
    <s v="Moderate"/>
  </r>
  <r>
    <s v="ORD-00276"/>
    <x v="64"/>
    <s v="Q2"/>
    <s v="Wednesday"/>
    <x v="0"/>
    <s v="(6am-12pm)"/>
    <s v="MA-009"/>
    <x v="5"/>
    <s v="Kingston"/>
    <s v="MA"/>
    <x v="3"/>
    <x v="0"/>
    <s v="Soft Drink L"/>
    <n v="1"/>
    <n v="2.48"/>
    <n v="2.48"/>
    <n v="0"/>
    <n v="2.48"/>
    <n v="1.04"/>
    <n v="1.44"/>
    <x v="1"/>
    <s v="Debit Card"/>
    <x v="4"/>
    <s v="Light"/>
  </r>
  <r>
    <s v="ORD-00182"/>
    <x v="65"/>
    <s v="Q2"/>
    <s v="Saturday"/>
    <x v="2"/>
    <s v="(6pm-12am)"/>
    <s v="MA-009"/>
    <x v="5"/>
    <s v="Kingston"/>
    <s v="MA"/>
    <x v="3"/>
    <x v="3"/>
    <s v="Soft Serve Cone"/>
    <n v="2"/>
    <n v="0.98"/>
    <n v="1.96"/>
    <n v="0.1"/>
    <n v="1.86"/>
    <n v="0.87"/>
    <n v="0.99"/>
    <x v="3"/>
    <s v="Debit Card"/>
    <x v="1"/>
    <s v="Light"/>
  </r>
  <r>
    <s v="ORD-00267"/>
    <x v="66"/>
    <s v="Q2"/>
    <s v="Sunday"/>
    <x v="2"/>
    <s v="(6pm-12am)"/>
    <s v="MA-003"/>
    <x v="3"/>
    <s v="Boston"/>
    <s v="MA"/>
    <x v="0"/>
    <x v="2"/>
    <s v="Quarter Pounder Combo"/>
    <n v="1"/>
    <n v="11.08"/>
    <n v="11.08"/>
    <n v="1.1100000000000001"/>
    <n v="9.9700000000000006"/>
    <n v="4.8499999999999996"/>
    <n v="5.12"/>
    <x v="4"/>
    <s v="Cash"/>
    <x v="0"/>
    <s v="Moderate"/>
  </r>
  <r>
    <s v="ORD-00304"/>
    <x v="67"/>
    <s v="Q2"/>
    <s v="Monday"/>
    <x v="1"/>
    <s v="(12am-6am)"/>
    <s v="MA-004"/>
    <x v="0"/>
    <s v="Boston"/>
    <s v="MA"/>
    <x v="0"/>
    <x v="4"/>
    <s v="Side Salad"/>
    <n v="3"/>
    <n v="3.34"/>
    <n v="10.02"/>
    <n v="0"/>
    <n v="10.02"/>
    <n v="4.07"/>
    <n v="5.95"/>
    <x v="3"/>
    <s v="Debit Card"/>
    <x v="0"/>
    <s v="Light"/>
  </r>
  <r>
    <s v="ORD-00306"/>
    <x v="67"/>
    <s v="Q2"/>
    <s v="Monday"/>
    <x v="2"/>
    <s v="(6pm-12am)"/>
    <s v="MA-003"/>
    <x v="3"/>
    <s v="Boston"/>
    <s v="MA"/>
    <x v="0"/>
    <x v="1"/>
    <s v="Cappuccino"/>
    <n v="5"/>
    <n v="3.98"/>
    <n v="19.899999999999999"/>
    <n v="0"/>
    <n v="19.899999999999999"/>
    <n v="10.09"/>
    <n v="9.81"/>
    <x v="2"/>
    <s v="Apple Pay"/>
    <x v="0"/>
    <s v="Light"/>
  </r>
  <r>
    <s v="ORD-00237"/>
    <x v="67"/>
    <s v="Q2"/>
    <s v="Monday"/>
    <x v="2"/>
    <s v="(6pm-12am)"/>
    <s v="MA-009"/>
    <x v="5"/>
    <s v="Kingston"/>
    <s v="MA"/>
    <x v="3"/>
    <x v="4"/>
    <s v="McNuggets 6pc"/>
    <n v="2"/>
    <n v="4.47"/>
    <n v="8.94"/>
    <n v="0.45"/>
    <n v="8.49"/>
    <n v="3.51"/>
    <n v="4.9800000000000004"/>
    <x v="5"/>
    <s v="Debit Card"/>
    <x v="2"/>
    <s v="Light"/>
  </r>
  <r>
    <s v="ORD-00022"/>
    <x v="68"/>
    <s v="Q2"/>
    <s v="Friday"/>
    <x v="3"/>
    <s v="(12pm-6pm)"/>
    <s v="MA-007"/>
    <x v="7"/>
    <s v="Burlington"/>
    <s v="MA"/>
    <x v="1"/>
    <x v="5"/>
    <s v="Quarter Pounder w/ Cheese"/>
    <n v="1"/>
    <n v="6.16"/>
    <n v="6.16"/>
    <n v="0"/>
    <n v="6.16"/>
    <n v="3.12"/>
    <n v="3.04"/>
    <x v="2"/>
    <s v="Cash"/>
    <x v="1"/>
    <s v="Light"/>
  </r>
  <r>
    <s v="ORD-00110"/>
    <x v="69"/>
    <s v="Q2"/>
    <s v="Saturday"/>
    <x v="0"/>
    <s v="(6am-12pm)"/>
    <s v="MA-007"/>
    <x v="7"/>
    <s v="Burlington"/>
    <s v="MA"/>
    <x v="1"/>
    <x v="4"/>
    <s v="Large Fries"/>
    <n v="2"/>
    <n v="3.56"/>
    <n v="7.12"/>
    <n v="0"/>
    <n v="7.12"/>
    <n v="3.53"/>
    <n v="3.59"/>
    <x v="5"/>
    <s v="Apple Pay"/>
    <x v="1"/>
    <s v="Light"/>
  </r>
  <r>
    <s v="ORD-00246"/>
    <x v="70"/>
    <s v="Q2"/>
    <s v="Monday"/>
    <x v="3"/>
    <s v="(12pm-6pm)"/>
    <s v="MA-005"/>
    <x v="2"/>
    <s v="Watertown"/>
    <s v="MA"/>
    <x v="0"/>
    <x v="5"/>
    <s v="McDouble"/>
    <n v="1"/>
    <n v="3.45"/>
    <n v="3.45"/>
    <n v="0.35"/>
    <n v="3.1"/>
    <n v="1.44"/>
    <n v="1.66"/>
    <x v="2"/>
    <s v="Google Pay"/>
    <x v="2"/>
    <s v="Moderate"/>
  </r>
  <r>
    <s v="ORD-00329"/>
    <x v="71"/>
    <s v="Q2"/>
    <s v="Tuesday"/>
    <x v="3"/>
    <s v="(12pm-6pm)"/>
    <s v="MA-006"/>
    <x v="9"/>
    <s v="Marlborough"/>
    <s v="MA"/>
    <x v="2"/>
    <x v="0"/>
    <s v="Bottled Water"/>
    <n v="4"/>
    <n v="1.48"/>
    <n v="5.92"/>
    <n v="0.89"/>
    <n v="5.03"/>
    <n v="2.13"/>
    <n v="2.9"/>
    <x v="0"/>
    <s v="Cash"/>
    <x v="1"/>
    <s v="Heavy"/>
  </r>
  <r>
    <s v="ORD-00183"/>
    <x v="72"/>
    <s v="Q2"/>
    <s v="Thursday"/>
    <x v="1"/>
    <s v="(12am-6am)"/>
    <s v="MA-004"/>
    <x v="0"/>
    <s v="Boston"/>
    <s v="MA"/>
    <x v="0"/>
    <x v="5"/>
    <s v="Big Mac"/>
    <n v="2"/>
    <n v="6.57"/>
    <n v="13.14"/>
    <n v="0"/>
    <n v="13.14"/>
    <n v="6.62"/>
    <n v="6.52"/>
    <x v="4"/>
    <s v="Google Pay"/>
    <x v="0"/>
    <s v="Light"/>
  </r>
  <r>
    <s v="ORD-00239"/>
    <x v="73"/>
    <s v="Q2"/>
    <s v="Sunday"/>
    <x v="2"/>
    <s v="(6pm-12am)"/>
    <s v="MA-007"/>
    <x v="7"/>
    <s v="Burlington"/>
    <s v="MA"/>
    <x v="1"/>
    <x v="1"/>
    <s v="Latte"/>
    <n v="1"/>
    <n v="3.83"/>
    <n v="3.83"/>
    <n v="0"/>
    <n v="3.83"/>
    <n v="1.91"/>
    <n v="1.92"/>
    <x v="3"/>
    <s v="Apple Pay"/>
    <x v="0"/>
    <s v="Light"/>
  </r>
  <r>
    <s v="ORD-00104"/>
    <x v="74"/>
    <s v="Q2"/>
    <s v="Monday"/>
    <x v="1"/>
    <s v="(12am-6am)"/>
    <s v="MA-006"/>
    <x v="9"/>
    <s v="Marlborough"/>
    <s v="MA"/>
    <x v="2"/>
    <x v="0"/>
    <s v="Orange Juice"/>
    <n v="1"/>
    <n v="2.85"/>
    <n v="2.85"/>
    <n v="0"/>
    <n v="2.85"/>
    <n v="1.07"/>
    <n v="1.78"/>
    <x v="5"/>
    <s v="Credit Card"/>
    <x v="1"/>
    <s v="Light"/>
  </r>
  <r>
    <s v="ORD-00294"/>
    <x v="74"/>
    <s v="Q2"/>
    <s v="Monday"/>
    <x v="2"/>
    <s v="(6pm-12am)"/>
    <s v="MA-010"/>
    <x v="8"/>
    <s v="Hyannis"/>
    <s v="MA"/>
    <x v="4"/>
    <x v="0"/>
    <s v="Soft Drink M"/>
    <n v="2"/>
    <n v="1.93"/>
    <n v="3.86"/>
    <n v="0.57999999999999996"/>
    <n v="3.28"/>
    <n v="1.28"/>
    <n v="2"/>
    <x v="3"/>
    <s v="Cash"/>
    <x v="2"/>
    <s v="Heavy"/>
  </r>
  <r>
    <s v="ORD-00071"/>
    <x v="74"/>
    <s v="Q2"/>
    <s v="Monday"/>
    <x v="0"/>
    <s v="(6am-12pm)"/>
    <s v="MA-005"/>
    <x v="2"/>
    <s v="Watertown"/>
    <s v="MA"/>
    <x v="0"/>
    <x v="1"/>
    <s v="Croissant"/>
    <n v="2"/>
    <n v="3.07"/>
    <n v="6.14"/>
    <n v="0"/>
    <n v="6.14"/>
    <n v="2.82"/>
    <n v="3.32"/>
    <x v="1"/>
    <s v="Credit Card"/>
    <x v="1"/>
    <s v="Light"/>
  </r>
  <r>
    <s v="ORD-00202"/>
    <x v="74"/>
    <s v="Q2"/>
    <s v="Monday"/>
    <x v="3"/>
    <s v="(12pm-6pm)"/>
    <s v="MA-010"/>
    <x v="8"/>
    <s v="Hyannis"/>
    <s v="MA"/>
    <x v="4"/>
    <x v="3"/>
    <s v="Soft Serve Cone"/>
    <n v="2"/>
    <n v="1.01"/>
    <n v="2.02"/>
    <n v="0"/>
    <n v="2.02"/>
    <n v="0.83"/>
    <n v="1.19"/>
    <x v="3"/>
    <s v="EBT"/>
    <x v="2"/>
    <s v="Light"/>
  </r>
  <r>
    <s v="ORD-00098"/>
    <x v="74"/>
    <s v="Q2"/>
    <s v="Monday"/>
    <x v="3"/>
    <s v="(12pm-6pm)"/>
    <s v="MA-008"/>
    <x v="1"/>
    <s v="Peabody"/>
    <s v="MA"/>
    <x v="1"/>
    <x v="5"/>
    <s v="Filet-O-Fish"/>
    <n v="4"/>
    <n v="5.71"/>
    <n v="22.84"/>
    <n v="3.43"/>
    <n v="19.41"/>
    <n v="7.65"/>
    <n v="11.76"/>
    <x v="4"/>
    <s v="EBT"/>
    <x v="1"/>
    <s v="Heavy"/>
  </r>
  <r>
    <s v="ORD-00018"/>
    <x v="75"/>
    <s v="Q2"/>
    <s v="Wednesday"/>
    <x v="3"/>
    <s v="(12pm-6pm)"/>
    <s v="MA-005"/>
    <x v="2"/>
    <s v="Watertown"/>
    <s v="MA"/>
    <x v="0"/>
    <x v="1"/>
    <s v="Blueberry Muffin"/>
    <n v="1"/>
    <n v="2.44"/>
    <n v="2.44"/>
    <n v="0.37"/>
    <n v="2.0699999999999998"/>
    <n v="0.96"/>
    <n v="1.1100000000000001"/>
    <x v="2"/>
    <s v="Credit Card"/>
    <x v="1"/>
    <s v="Heavy"/>
  </r>
  <r>
    <s v="ORD-00026"/>
    <x v="76"/>
    <s v="Q2"/>
    <s v="Thursday"/>
    <x v="3"/>
    <s v="(12pm-6pm)"/>
    <s v="MA-005"/>
    <x v="2"/>
    <s v="Watertown"/>
    <s v="MA"/>
    <x v="0"/>
    <x v="4"/>
    <s v="Large Fries"/>
    <n v="2"/>
    <n v="3.45"/>
    <n v="6.9"/>
    <n v="0"/>
    <n v="6.9"/>
    <n v="3.45"/>
    <n v="3.45"/>
    <x v="4"/>
    <s v="Debit Card"/>
    <x v="0"/>
    <s v="Light"/>
  </r>
  <r>
    <s v="ORD-00268"/>
    <x v="76"/>
    <s v="Q2"/>
    <s v="Thursday"/>
    <x v="2"/>
    <s v="(6pm-12am)"/>
    <s v="MA-001"/>
    <x v="6"/>
    <s v="Natick"/>
    <s v="MA"/>
    <x v="2"/>
    <x v="0"/>
    <s v="Soft Drink M"/>
    <n v="4"/>
    <n v="1.94"/>
    <n v="7.76"/>
    <n v="0.39"/>
    <n v="7.37"/>
    <n v="2.66"/>
    <n v="4.71"/>
    <x v="1"/>
    <s v="EBT"/>
    <x v="1"/>
    <s v="Light"/>
  </r>
  <r>
    <s v="ORD-00054"/>
    <x v="76"/>
    <s v="Q2"/>
    <s v="Thursday"/>
    <x v="2"/>
    <s v="(6pm-12am)"/>
    <s v="MA-003"/>
    <x v="3"/>
    <s v="Boston"/>
    <s v="MA"/>
    <x v="0"/>
    <x v="4"/>
    <s v="Medium Fries"/>
    <n v="2"/>
    <n v="2.74"/>
    <n v="5.48"/>
    <n v="0.27"/>
    <n v="5.21"/>
    <n v="2.62"/>
    <n v="2.59"/>
    <x v="3"/>
    <s v="Google Pay"/>
    <x v="1"/>
    <s v="Light"/>
  </r>
  <r>
    <s v="ORD-00007"/>
    <x v="77"/>
    <s v="Q2"/>
    <s v="Sunday"/>
    <x v="0"/>
    <s v="(6am-12pm)"/>
    <s v="MA-003"/>
    <x v="3"/>
    <s v="Boston"/>
    <s v="MA"/>
    <x v="0"/>
    <x v="4"/>
    <s v="McNuggets 10pc"/>
    <n v="1"/>
    <n v="6.66"/>
    <n v="6.66"/>
    <n v="0.33"/>
    <n v="6.33"/>
    <n v="2.4900000000000002"/>
    <n v="3.84"/>
    <x v="5"/>
    <s v="Debit Card"/>
    <x v="1"/>
    <s v="Light"/>
  </r>
  <r>
    <s v="ORD-00216"/>
    <x v="78"/>
    <s v="Q2"/>
    <s v="Thursday"/>
    <x v="0"/>
    <s v="(6am-12pm)"/>
    <s v="MA-006"/>
    <x v="9"/>
    <s v="Marlborough"/>
    <s v="MA"/>
    <x v="2"/>
    <x v="3"/>
    <s v="Apple Pie"/>
    <n v="1"/>
    <n v="1.53"/>
    <n v="1.53"/>
    <n v="0"/>
    <n v="1.53"/>
    <n v="0.61"/>
    <n v="0.92"/>
    <x v="1"/>
    <s v="Credit Card"/>
    <x v="1"/>
    <s v="Light"/>
  </r>
  <r>
    <s v="ORD-00235"/>
    <x v="79"/>
    <s v="Q2"/>
    <s v="Sunday"/>
    <x v="0"/>
    <s v="(6am-12pm)"/>
    <s v="MA-004"/>
    <x v="0"/>
    <s v="Boston"/>
    <s v="MA"/>
    <x v="0"/>
    <x v="2"/>
    <s v="McChicken Combo"/>
    <n v="2"/>
    <n v="9.43"/>
    <n v="18.86"/>
    <n v="1.89"/>
    <n v="16.97"/>
    <n v="7.94"/>
    <n v="9.0299999999999994"/>
    <x v="0"/>
    <s v="Credit Card"/>
    <x v="1"/>
    <s v="Moderate"/>
  </r>
  <r>
    <s v="ORD-00052"/>
    <x v="80"/>
    <s v="Q2"/>
    <s v="Monday"/>
    <x v="1"/>
    <s v="(12am-6am)"/>
    <s v="MA-007"/>
    <x v="7"/>
    <s v="Burlington"/>
    <s v="MA"/>
    <x v="1"/>
    <x v="3"/>
    <s v="McFlurry M&amp;M"/>
    <n v="2"/>
    <n v="3.75"/>
    <n v="7.5"/>
    <n v="1.1200000000000001"/>
    <n v="6.38"/>
    <n v="2.59"/>
    <n v="3.79"/>
    <x v="2"/>
    <s v="Cash"/>
    <x v="0"/>
    <s v="Heavy"/>
  </r>
  <r>
    <s v="ORD-00170"/>
    <x v="81"/>
    <s v="Q2"/>
    <s v="Wednesday"/>
    <x v="3"/>
    <s v="(12pm-6pm)"/>
    <s v="MA-006"/>
    <x v="9"/>
    <s v="Marlborough"/>
    <s v="MA"/>
    <x v="2"/>
    <x v="4"/>
    <s v="McNuggets 6pc"/>
    <n v="1"/>
    <n v="4.37"/>
    <n v="4.37"/>
    <n v="0.22"/>
    <n v="4.1500000000000004"/>
    <n v="1.75"/>
    <n v="2.4"/>
    <x v="5"/>
    <s v="Debit Card"/>
    <x v="0"/>
    <s v="Light"/>
  </r>
  <r>
    <s v="ORD-00227"/>
    <x v="82"/>
    <s v="Q2"/>
    <s v="Friday"/>
    <x v="0"/>
    <s v="(6am-12pm)"/>
    <s v="MA-008"/>
    <x v="1"/>
    <s v="Peabody"/>
    <s v="MA"/>
    <x v="1"/>
    <x v="0"/>
    <s v="Soft Drink M"/>
    <n v="1"/>
    <n v="1.96"/>
    <n v="1.96"/>
    <n v="0"/>
    <n v="1.96"/>
    <n v="0.99"/>
    <n v="0.97"/>
    <x v="5"/>
    <s v="Cash"/>
    <x v="1"/>
    <s v="Light"/>
  </r>
  <r>
    <s v="ORD-00308"/>
    <x v="82"/>
    <s v="Q2"/>
    <s v="Friday"/>
    <x v="2"/>
    <s v="(6pm-12am)"/>
    <s v="MA-010"/>
    <x v="8"/>
    <s v="Hyannis"/>
    <s v="MA"/>
    <x v="4"/>
    <x v="5"/>
    <s v="Quarter Pounder w/ Cheese"/>
    <n v="3"/>
    <n v="6.05"/>
    <n v="18.149999999999999"/>
    <n v="0"/>
    <n v="18.149999999999999"/>
    <n v="7.6"/>
    <n v="10.55"/>
    <x v="0"/>
    <s v="Apple Pay"/>
    <x v="2"/>
    <s v="Light"/>
  </r>
  <r>
    <s v="ORD-00270"/>
    <x v="82"/>
    <s v="Q2"/>
    <s v="Friday"/>
    <x v="1"/>
    <s v="(12am-6am)"/>
    <s v="MA-002"/>
    <x v="4"/>
    <s v="Framingham"/>
    <s v="MA"/>
    <x v="2"/>
    <x v="5"/>
    <s v="McDouble"/>
    <n v="3"/>
    <n v="3.44"/>
    <n v="10.32"/>
    <n v="0"/>
    <n v="10.32"/>
    <n v="5.08"/>
    <n v="5.24"/>
    <x v="0"/>
    <s v="EBT"/>
    <x v="0"/>
    <s v="Light"/>
  </r>
  <r>
    <s v="ORD-00340"/>
    <x v="83"/>
    <s v="Q2"/>
    <s v="Saturday"/>
    <x v="1"/>
    <s v="(12am-6am)"/>
    <s v="MA-010"/>
    <x v="8"/>
    <s v="Hyannis"/>
    <s v="MA"/>
    <x v="4"/>
    <x v="2"/>
    <s v="McChicken Combo"/>
    <n v="2"/>
    <n v="9.7200000000000006"/>
    <n v="19.440000000000001"/>
    <n v="0.97"/>
    <n v="18.47"/>
    <n v="8.75"/>
    <n v="9.7200000000000006"/>
    <x v="5"/>
    <s v="Debit Card"/>
    <x v="0"/>
    <s v="Light"/>
  </r>
  <r>
    <s v="ORD-00073"/>
    <x v="84"/>
    <s v="Q2"/>
    <s v="Sunday"/>
    <x v="1"/>
    <s v="(12am-6am)"/>
    <s v="MA-009"/>
    <x v="5"/>
    <s v="Kingston"/>
    <s v="MA"/>
    <x v="3"/>
    <x v="2"/>
    <s v="Happy Meal"/>
    <n v="2"/>
    <n v="7.03"/>
    <n v="14.06"/>
    <n v="2.11"/>
    <n v="11.95"/>
    <n v="5.94"/>
    <n v="6.01"/>
    <x v="0"/>
    <s v="Cash"/>
    <x v="2"/>
    <s v="Heavy"/>
  </r>
  <r>
    <s v="ORD-00075"/>
    <x v="85"/>
    <s v="Q2"/>
    <s v="Wednesday"/>
    <x v="2"/>
    <s v="(6pm-12am)"/>
    <s v="MA-003"/>
    <x v="3"/>
    <s v="Boston"/>
    <s v="MA"/>
    <x v="0"/>
    <x v="2"/>
    <s v="Happy Meal"/>
    <n v="2"/>
    <n v="6.99"/>
    <n v="13.98"/>
    <n v="0"/>
    <n v="13.98"/>
    <n v="5.87"/>
    <n v="8.11"/>
    <x v="5"/>
    <s v="Cash"/>
    <x v="2"/>
    <s v="Light"/>
  </r>
  <r>
    <s v="ORD-00003"/>
    <x v="85"/>
    <s v="Q2"/>
    <s v="Wednesday"/>
    <x v="3"/>
    <s v="(12pm-6pm)"/>
    <s v="MA-001"/>
    <x v="6"/>
    <s v="Natick"/>
    <s v="MA"/>
    <x v="2"/>
    <x v="0"/>
    <s v="Bottled Water"/>
    <n v="2"/>
    <n v="1.47"/>
    <n v="2.94"/>
    <n v="0"/>
    <n v="2.94"/>
    <n v="1.48"/>
    <n v="1.46"/>
    <x v="4"/>
    <s v="Debit Card"/>
    <x v="2"/>
    <s v="Light"/>
  </r>
  <r>
    <s v="ORD-00114"/>
    <x v="85"/>
    <s v="Q2"/>
    <s v="Wednesday"/>
    <x v="1"/>
    <s v="(12am-6am)"/>
    <s v="MA-010"/>
    <x v="8"/>
    <s v="Hyannis"/>
    <s v="MA"/>
    <x v="4"/>
    <x v="0"/>
    <s v="McCafe Smoothie"/>
    <n v="3"/>
    <n v="4.0999999999999996"/>
    <n v="12.3"/>
    <n v="1.23"/>
    <n v="11.07"/>
    <n v="5.23"/>
    <n v="5.84"/>
    <x v="1"/>
    <s v="Google Pay"/>
    <x v="0"/>
    <s v="Moderate"/>
  </r>
  <r>
    <s v="ORD-00101"/>
    <x v="86"/>
    <s v="Q2"/>
    <s v="Thursday"/>
    <x v="3"/>
    <s v="(12pm-6pm)"/>
    <s v="MA-001"/>
    <x v="6"/>
    <s v="Natick"/>
    <s v="MA"/>
    <x v="2"/>
    <x v="1"/>
    <s v="Cappuccino"/>
    <n v="1"/>
    <n v="3.98"/>
    <n v="3.98"/>
    <n v="0"/>
    <n v="3.98"/>
    <n v="1.68"/>
    <n v="2.2999999999999998"/>
    <x v="1"/>
    <s v="Cash"/>
    <x v="1"/>
    <s v="Light"/>
  </r>
  <r>
    <s v="ORD-00250"/>
    <x v="86"/>
    <s v="Q2"/>
    <s v="Thursday"/>
    <x v="1"/>
    <s v="(12am-6am)"/>
    <s v="MA-010"/>
    <x v="8"/>
    <s v="Hyannis"/>
    <s v="MA"/>
    <x v="4"/>
    <x v="2"/>
    <s v="McChicken Combo"/>
    <n v="1"/>
    <n v="9.61"/>
    <n v="9.61"/>
    <n v="0"/>
    <n v="9.61"/>
    <n v="3.88"/>
    <n v="5.73"/>
    <x v="0"/>
    <s v="EBT"/>
    <x v="2"/>
    <s v="Light"/>
  </r>
  <r>
    <s v="ORD-00093"/>
    <x v="87"/>
    <s v="Q2"/>
    <s v="Sunday"/>
    <x v="1"/>
    <s v="(12am-6am)"/>
    <s v="MA-004"/>
    <x v="0"/>
    <s v="Boston"/>
    <s v="MA"/>
    <x v="0"/>
    <x v="2"/>
    <s v="Quarter Pounder Combo"/>
    <n v="1"/>
    <n v="10.79"/>
    <n v="10.79"/>
    <n v="0"/>
    <n v="10.79"/>
    <n v="5.41"/>
    <n v="5.38"/>
    <x v="1"/>
    <s v="EBT"/>
    <x v="0"/>
    <s v="Light"/>
  </r>
  <r>
    <s v="ORD-00141"/>
    <x v="87"/>
    <s v="Q2"/>
    <s v="Sunday"/>
    <x v="0"/>
    <s v="(6am-12pm)"/>
    <s v="MA-008"/>
    <x v="1"/>
    <s v="Peabody"/>
    <s v="MA"/>
    <x v="1"/>
    <x v="1"/>
    <s v="Latte"/>
    <n v="3"/>
    <n v="3.78"/>
    <n v="11.34"/>
    <n v="0.56999999999999995"/>
    <n v="10.77"/>
    <n v="5.72"/>
    <n v="5.05"/>
    <x v="4"/>
    <s v="Cash"/>
    <x v="1"/>
    <s v="Light"/>
  </r>
  <r>
    <s v="ORD-00087"/>
    <x v="88"/>
    <s v="Q2"/>
    <s v="Monday"/>
    <x v="2"/>
    <s v="(6pm-12am)"/>
    <s v="MA-004"/>
    <x v="0"/>
    <s v="Boston"/>
    <s v="MA"/>
    <x v="0"/>
    <x v="1"/>
    <s v="Espresso"/>
    <n v="2"/>
    <n v="1.94"/>
    <n v="3.88"/>
    <n v="0.19"/>
    <n v="3.69"/>
    <n v="1.94"/>
    <n v="1.75"/>
    <x v="2"/>
    <s v="Credit Card"/>
    <x v="0"/>
    <s v="Light"/>
  </r>
  <r>
    <s v="ORD-00167"/>
    <x v="89"/>
    <s v="Q2"/>
    <s v="Tuesday"/>
    <x v="0"/>
    <s v="(6am-12pm)"/>
    <s v="MA-007"/>
    <x v="7"/>
    <s v="Burlington"/>
    <s v="MA"/>
    <x v="1"/>
    <x v="2"/>
    <s v="Happy Meal"/>
    <n v="1"/>
    <n v="7.14"/>
    <n v="7.14"/>
    <n v="0"/>
    <n v="7.14"/>
    <n v="2.97"/>
    <n v="4.17"/>
    <x v="0"/>
    <s v="EBT"/>
    <x v="2"/>
    <s v="Light"/>
  </r>
  <r>
    <s v="ORD-00065"/>
    <x v="90"/>
    <s v="Q2"/>
    <s v="Friday"/>
    <x v="0"/>
    <s v="(6am-12pm)"/>
    <s v="MA-004"/>
    <x v="0"/>
    <s v="Boston"/>
    <s v="MA"/>
    <x v="0"/>
    <x v="3"/>
    <s v="McFlurry M&amp;M"/>
    <n v="1"/>
    <n v="3.84"/>
    <n v="3.84"/>
    <n v="0"/>
    <n v="3.84"/>
    <n v="1.38"/>
    <n v="2.46"/>
    <x v="4"/>
    <s v="Google Pay"/>
    <x v="1"/>
    <s v="Light"/>
  </r>
  <r>
    <s v="ORD-00082"/>
    <x v="91"/>
    <s v="Q2"/>
    <s v="Saturday"/>
    <x v="3"/>
    <s v="(12pm-6pm)"/>
    <s v="MA-010"/>
    <x v="8"/>
    <s v="Hyannis"/>
    <s v="MA"/>
    <x v="4"/>
    <x v="2"/>
    <s v="Happy Meal"/>
    <n v="4"/>
    <n v="6.97"/>
    <n v="27.88"/>
    <n v="0"/>
    <n v="27.88"/>
    <n v="11.61"/>
    <n v="16.27"/>
    <x v="0"/>
    <s v="Apple Pay"/>
    <x v="1"/>
    <s v="Light"/>
  </r>
  <r>
    <s v="ORD-00203"/>
    <x v="92"/>
    <s v="Q2"/>
    <s v="Sunday"/>
    <x v="3"/>
    <s v="(12pm-6pm)"/>
    <s v="MA-005"/>
    <x v="2"/>
    <s v="Watertown"/>
    <s v="MA"/>
    <x v="0"/>
    <x v="5"/>
    <s v="Filet-O-Fish"/>
    <n v="4"/>
    <n v="5.82"/>
    <n v="23.28"/>
    <n v="3.49"/>
    <n v="19.79"/>
    <n v="9.4"/>
    <n v="10.39"/>
    <x v="2"/>
    <s v="Google Pay"/>
    <x v="3"/>
    <s v="Heavy"/>
  </r>
  <r>
    <s v="ORD-00205"/>
    <x v="92"/>
    <s v="Q2"/>
    <s v="Sunday"/>
    <x v="0"/>
    <s v="(6am-12pm)"/>
    <s v="MA-003"/>
    <x v="3"/>
    <s v="Boston"/>
    <s v="MA"/>
    <x v="0"/>
    <x v="4"/>
    <s v="Medium Fries"/>
    <n v="2"/>
    <n v="2.87"/>
    <n v="5.74"/>
    <n v="0.28999999999999998"/>
    <n v="5.45"/>
    <n v="2.0499999999999998"/>
    <n v="3.4"/>
    <x v="3"/>
    <s v="Cash"/>
    <x v="0"/>
    <s v="Light"/>
  </r>
  <r>
    <s v="ORD-00220"/>
    <x v="92"/>
    <s v="Q2"/>
    <s v="Sunday"/>
    <x v="1"/>
    <s v="(12am-6am)"/>
    <s v="MA-003"/>
    <x v="3"/>
    <s v="Boston"/>
    <s v="MA"/>
    <x v="0"/>
    <x v="2"/>
    <s v="McChicken Combo"/>
    <n v="2"/>
    <n v="9.69"/>
    <n v="19.38"/>
    <n v="0.97"/>
    <n v="18.41"/>
    <n v="8.43"/>
    <n v="9.98"/>
    <x v="2"/>
    <s v="EBT"/>
    <x v="1"/>
    <s v="Light"/>
  </r>
  <r>
    <s v="ORD-00091"/>
    <x v="93"/>
    <s v="Q2"/>
    <s v="Monday"/>
    <x v="1"/>
    <s v="(12am-6am)"/>
    <s v="MA-004"/>
    <x v="0"/>
    <s v="Boston"/>
    <s v="MA"/>
    <x v="0"/>
    <x v="4"/>
    <s v="McNuggets 10pc"/>
    <n v="1"/>
    <n v="6.44"/>
    <n v="6.44"/>
    <n v="0"/>
    <n v="6.44"/>
    <n v="2.64"/>
    <n v="3.8"/>
    <x v="1"/>
    <s v="Cash"/>
    <x v="1"/>
    <s v="Light"/>
  </r>
  <r>
    <s v="ORD-00099"/>
    <x v="93"/>
    <s v="Q2"/>
    <s v="Monday"/>
    <x v="1"/>
    <s v="(12am-6am)"/>
    <s v="MA-007"/>
    <x v="7"/>
    <s v="Burlington"/>
    <s v="MA"/>
    <x v="1"/>
    <x v="5"/>
    <s v="Quarter Pounder w/ Cheese"/>
    <n v="1"/>
    <n v="5.82"/>
    <n v="5.82"/>
    <n v="1.1599999999999999"/>
    <n v="4.66"/>
    <n v="1.74"/>
    <n v="2.92"/>
    <x v="3"/>
    <s v="Google Pay"/>
    <x v="0"/>
    <s v="Aggressive"/>
  </r>
  <r>
    <s v="ORD-00119"/>
    <x v="94"/>
    <s v="Q2"/>
    <s v="Thursday"/>
    <x v="0"/>
    <s v="(6am-12pm)"/>
    <s v="MA-001"/>
    <x v="6"/>
    <s v="Natick"/>
    <s v="MA"/>
    <x v="2"/>
    <x v="0"/>
    <s v="McCafe Smoothie"/>
    <n v="5"/>
    <n v="3.88"/>
    <n v="19.399999999999999"/>
    <n v="0"/>
    <n v="19.399999999999999"/>
    <n v="10.46"/>
    <n v="8.94"/>
    <x v="3"/>
    <s v="Cash"/>
    <x v="0"/>
    <s v="Light"/>
  </r>
  <r>
    <s v="ORD-00008"/>
    <x v="95"/>
    <s v="Q2"/>
    <s v="Monday"/>
    <x v="3"/>
    <s v="(12pm-6pm)"/>
    <s v="MA-007"/>
    <x v="7"/>
    <s v="Burlington"/>
    <s v="MA"/>
    <x v="1"/>
    <x v="3"/>
    <s v="McFlurry Oreo"/>
    <n v="1"/>
    <n v="3.89"/>
    <n v="3.89"/>
    <n v="0.57999999999999996"/>
    <n v="3.31"/>
    <n v="1.37"/>
    <n v="1.94"/>
    <x v="1"/>
    <s v="Apple Pay"/>
    <x v="1"/>
    <s v="Heavy"/>
  </r>
  <r>
    <s v="ORD-00290"/>
    <x v="96"/>
    <s v="Q2"/>
    <s v="Wednesday"/>
    <x v="2"/>
    <s v="(6pm-12am)"/>
    <s v="MA-010"/>
    <x v="8"/>
    <s v="Hyannis"/>
    <s v="MA"/>
    <x v="4"/>
    <x v="0"/>
    <s v="Soft Drink M"/>
    <n v="4"/>
    <n v="2.02"/>
    <n v="8.08"/>
    <n v="0"/>
    <n v="8.08"/>
    <n v="4.43"/>
    <n v="3.65"/>
    <x v="0"/>
    <s v="Cash"/>
    <x v="1"/>
    <s v="Light"/>
  </r>
  <r>
    <s v="ORD-00295"/>
    <x v="97"/>
    <s v="Q2"/>
    <s v="Friday"/>
    <x v="0"/>
    <s v="(6am-12pm)"/>
    <s v="MA-001"/>
    <x v="6"/>
    <s v="Natick"/>
    <s v="MA"/>
    <x v="2"/>
    <x v="5"/>
    <s v="Quarter Pounder w/ Cheese"/>
    <n v="2"/>
    <n v="6.14"/>
    <n v="12.28"/>
    <n v="1.23"/>
    <n v="11.05"/>
    <n v="5.74"/>
    <n v="5.31"/>
    <x v="5"/>
    <s v="Debit Card"/>
    <x v="1"/>
    <s v="Moderate"/>
  </r>
  <r>
    <s v="ORD-00222"/>
    <x v="98"/>
    <s v="Q2"/>
    <s v="Sunday"/>
    <x v="1"/>
    <s v="(12am-6am)"/>
    <s v="MA-001"/>
    <x v="6"/>
    <s v="Natick"/>
    <s v="MA"/>
    <x v="2"/>
    <x v="1"/>
    <s v="Cappuccino"/>
    <n v="3"/>
    <n v="3.98"/>
    <n v="11.94"/>
    <n v="0"/>
    <n v="11.94"/>
    <n v="5.5"/>
    <n v="6.44"/>
    <x v="2"/>
    <s v="Apple Pay"/>
    <x v="1"/>
    <s v="Light"/>
  </r>
  <r>
    <s v="ORD-00280"/>
    <x v="98"/>
    <s v="Q2"/>
    <s v="Sunday"/>
    <x v="1"/>
    <s v="(12am-6am)"/>
    <s v="MA-006"/>
    <x v="9"/>
    <s v="Marlborough"/>
    <s v="MA"/>
    <x v="2"/>
    <x v="4"/>
    <s v="McNuggets 6pc"/>
    <n v="1"/>
    <n v="4.6100000000000003"/>
    <n v="4.6100000000000003"/>
    <n v="0"/>
    <n v="4.6100000000000003"/>
    <n v="2.3199999999999998"/>
    <n v="2.29"/>
    <x v="4"/>
    <s v="Credit Card"/>
    <x v="2"/>
    <s v="Light"/>
  </r>
  <r>
    <s v="ORD-00211"/>
    <x v="99"/>
    <s v="Q2"/>
    <s v="Monday"/>
    <x v="2"/>
    <s v="(6pm-12am)"/>
    <s v="MA-004"/>
    <x v="0"/>
    <s v="Boston"/>
    <s v="MA"/>
    <x v="0"/>
    <x v="4"/>
    <s v="Side Salad"/>
    <n v="3"/>
    <n v="3.29"/>
    <n v="9.8699999999999992"/>
    <n v="0.49"/>
    <n v="9.3800000000000008"/>
    <n v="4.57"/>
    <n v="4.8099999999999996"/>
    <x v="5"/>
    <s v="Apple Pay"/>
    <x v="1"/>
    <s v="Light"/>
  </r>
  <r>
    <s v="ORD-00286"/>
    <x v="100"/>
    <s v="Q2"/>
    <s v="Tuesday"/>
    <x v="3"/>
    <s v="(12pm-6pm)"/>
    <s v="MA-002"/>
    <x v="4"/>
    <s v="Framingham"/>
    <s v="MA"/>
    <x v="2"/>
    <x v="5"/>
    <s v="McChicken"/>
    <n v="1"/>
    <n v="3.37"/>
    <n v="3.37"/>
    <n v="0"/>
    <n v="3.37"/>
    <n v="1.67"/>
    <n v="1.7"/>
    <x v="2"/>
    <s v="Debit Card"/>
    <x v="1"/>
    <s v="Light"/>
  </r>
  <r>
    <s v="ORD-00315"/>
    <x v="100"/>
    <s v="Q2"/>
    <s v="Tuesday"/>
    <x v="0"/>
    <s v="(6am-12pm)"/>
    <s v="MA-004"/>
    <x v="0"/>
    <s v="Boston"/>
    <s v="MA"/>
    <x v="0"/>
    <x v="5"/>
    <s v="Double Quarter Pounder"/>
    <n v="2"/>
    <n v="7.88"/>
    <n v="15.76"/>
    <n v="0"/>
    <n v="15.76"/>
    <n v="6.58"/>
    <n v="9.18"/>
    <x v="5"/>
    <s v="Cash"/>
    <x v="1"/>
    <s v="Light"/>
  </r>
  <r>
    <s v="ORD-00034"/>
    <x v="101"/>
    <s v="Q2"/>
    <s v="Wednesday"/>
    <x v="0"/>
    <s v="(6am-12pm)"/>
    <s v="MA-007"/>
    <x v="7"/>
    <s v="Burlington"/>
    <s v="MA"/>
    <x v="1"/>
    <x v="1"/>
    <s v="Latte"/>
    <n v="1"/>
    <n v="3.86"/>
    <n v="3.86"/>
    <n v="0"/>
    <n v="3.86"/>
    <n v="2.02"/>
    <n v="1.84"/>
    <x v="2"/>
    <s v="Credit Card"/>
    <x v="1"/>
    <s v="Light"/>
  </r>
  <r>
    <s v="ORD-00300"/>
    <x v="102"/>
    <s v="Q2"/>
    <s v="Thursday"/>
    <x v="1"/>
    <s v="(12am-6am)"/>
    <s v="MA-008"/>
    <x v="1"/>
    <s v="Peabody"/>
    <s v="MA"/>
    <x v="1"/>
    <x v="5"/>
    <s v="McDouble"/>
    <n v="1"/>
    <n v="3.53"/>
    <n v="3.53"/>
    <n v="0"/>
    <n v="3.53"/>
    <n v="1.79"/>
    <n v="1.74"/>
    <x v="1"/>
    <s v="Debit Card"/>
    <x v="0"/>
    <s v="Light"/>
  </r>
  <r>
    <s v="ORD-00060"/>
    <x v="103"/>
    <s v="Q2"/>
    <s v="Friday"/>
    <x v="0"/>
    <s v="(6am-12pm)"/>
    <s v="MA-001"/>
    <x v="6"/>
    <s v="Natick"/>
    <s v="MA"/>
    <x v="2"/>
    <x v="4"/>
    <s v="McNuggets 6pc"/>
    <n v="1"/>
    <n v="4.41"/>
    <n v="4.41"/>
    <n v="0.44"/>
    <n v="3.97"/>
    <n v="1.66"/>
    <n v="2.31"/>
    <x v="0"/>
    <s v="EBT"/>
    <x v="0"/>
    <s v="Moderate"/>
  </r>
  <r>
    <s v="ORD-00017"/>
    <x v="104"/>
    <s v="Q2"/>
    <s v="Saturday"/>
    <x v="0"/>
    <s v="(6am-12pm)"/>
    <s v="MA-001"/>
    <x v="6"/>
    <s v="Natick"/>
    <s v="MA"/>
    <x v="2"/>
    <x v="2"/>
    <s v="McChicken Combo"/>
    <n v="2"/>
    <n v="9.2100000000000009"/>
    <n v="18.420000000000002"/>
    <n v="1.84"/>
    <n v="16.579999999999998"/>
    <n v="6"/>
    <n v="10.58"/>
    <x v="4"/>
    <s v="Debit Card"/>
    <x v="3"/>
    <s v="Moderate"/>
  </r>
  <r>
    <s v="ORD-00238"/>
    <x v="105"/>
    <s v="Q2"/>
    <s v="Monday"/>
    <x v="3"/>
    <s v="(12pm-6pm)"/>
    <s v="MA-002"/>
    <x v="4"/>
    <s v="Framingham"/>
    <s v="MA"/>
    <x v="2"/>
    <x v="1"/>
    <s v="Latte"/>
    <n v="4"/>
    <n v="3.84"/>
    <n v="15.36"/>
    <n v="0.77"/>
    <n v="14.59"/>
    <n v="6.72"/>
    <n v="7.87"/>
    <x v="5"/>
    <s v="Google Pay"/>
    <x v="1"/>
    <s v="Light"/>
  </r>
  <r>
    <s v="ORD-00204"/>
    <x v="106"/>
    <s v="Q2"/>
    <s v="Tuesday"/>
    <x v="0"/>
    <s v="(6am-12pm)"/>
    <s v="MA-007"/>
    <x v="7"/>
    <s v="Burlington"/>
    <s v="MA"/>
    <x v="1"/>
    <x v="2"/>
    <s v="Quarter Pounder Combo"/>
    <n v="2"/>
    <n v="10.93"/>
    <n v="21.86"/>
    <n v="0"/>
    <n v="21.86"/>
    <n v="8.4499999999999993"/>
    <n v="13.41"/>
    <x v="0"/>
    <s v="Apple Pay"/>
    <x v="1"/>
    <s v="Light"/>
  </r>
  <r>
    <s v="ORD-00166"/>
    <x v="106"/>
    <s v="Q2"/>
    <s v="Tuesday"/>
    <x v="1"/>
    <s v="(12am-6am)"/>
    <s v="MA-007"/>
    <x v="7"/>
    <s v="Burlington"/>
    <s v="MA"/>
    <x v="1"/>
    <x v="0"/>
    <s v="McCafe Frappe"/>
    <n v="2"/>
    <n v="4.38"/>
    <n v="8.76"/>
    <n v="0"/>
    <n v="8.76"/>
    <n v="3.28"/>
    <n v="5.48"/>
    <x v="2"/>
    <s v="Credit Card"/>
    <x v="2"/>
    <s v="Light"/>
  </r>
  <r>
    <s v="ORD-00037"/>
    <x v="106"/>
    <s v="Q2"/>
    <s v="Tuesday"/>
    <x v="3"/>
    <s v="(12pm-6pm)"/>
    <s v="MA-006"/>
    <x v="9"/>
    <s v="Marlborough"/>
    <s v="MA"/>
    <x v="2"/>
    <x v="4"/>
    <s v="Side Salad"/>
    <n v="5"/>
    <n v="3.21"/>
    <n v="16.05"/>
    <n v="2.41"/>
    <n v="13.64"/>
    <n v="5.29"/>
    <n v="8.35"/>
    <x v="4"/>
    <s v="EBT"/>
    <x v="4"/>
    <s v="Heavy"/>
  </r>
  <r>
    <s v="ORD-00004"/>
    <x v="106"/>
    <s v="Q2"/>
    <s v="Tuesday"/>
    <x v="2"/>
    <s v="(6pm-12am)"/>
    <s v="MA-010"/>
    <x v="8"/>
    <s v="Hyannis"/>
    <s v="MA"/>
    <x v="4"/>
    <x v="3"/>
    <s v="McFlurry Oreo"/>
    <n v="3"/>
    <n v="3.8"/>
    <n v="11.4"/>
    <n v="2.2799999999999998"/>
    <n v="9.1199999999999992"/>
    <n v="3.88"/>
    <n v="5.24"/>
    <x v="0"/>
    <s v="Cash"/>
    <x v="0"/>
    <s v="Aggressive"/>
  </r>
  <r>
    <s v="ORD-00132"/>
    <x v="107"/>
    <s v="Q2"/>
    <s v="Friday"/>
    <x v="1"/>
    <s v="(12am-6am)"/>
    <s v="MA-005"/>
    <x v="2"/>
    <s v="Watertown"/>
    <s v="MA"/>
    <x v="0"/>
    <x v="1"/>
    <s v="Blueberry Muffin"/>
    <n v="1"/>
    <n v="2.52"/>
    <n v="2.52"/>
    <n v="0"/>
    <n v="2.52"/>
    <n v="1.1599999999999999"/>
    <n v="1.36"/>
    <x v="1"/>
    <s v="Cash"/>
    <x v="1"/>
    <s v="Light"/>
  </r>
  <r>
    <s v="ORD-00169"/>
    <x v="108"/>
    <s v="Q2"/>
    <s v="Saturday"/>
    <x v="1"/>
    <s v="(12am-6am)"/>
    <s v="MA-001"/>
    <x v="6"/>
    <s v="Natick"/>
    <s v="MA"/>
    <x v="2"/>
    <x v="5"/>
    <s v="McDouble"/>
    <n v="2"/>
    <n v="3.57"/>
    <n v="7.14"/>
    <n v="0.36"/>
    <n v="6.78"/>
    <n v="3.01"/>
    <n v="3.77"/>
    <x v="0"/>
    <s v="Debit Card"/>
    <x v="0"/>
    <s v="Light"/>
  </r>
  <r>
    <s v="ORD-00179"/>
    <x v="109"/>
    <s v="Q2"/>
    <s v="Sunday"/>
    <x v="2"/>
    <s v="(6pm-12am)"/>
    <s v="MA-005"/>
    <x v="2"/>
    <s v="Watertown"/>
    <s v="MA"/>
    <x v="0"/>
    <x v="2"/>
    <s v="Happy Meal"/>
    <n v="1"/>
    <n v="6.88"/>
    <n v="6.88"/>
    <n v="0.34"/>
    <n v="6.54"/>
    <n v="2.58"/>
    <n v="3.96"/>
    <x v="5"/>
    <s v="Cash"/>
    <x v="2"/>
    <s v="Light"/>
  </r>
  <r>
    <s v="ORD-00209"/>
    <x v="110"/>
    <s v="Q3"/>
    <s v="Tuesday"/>
    <x v="0"/>
    <s v="(6am-12pm)"/>
    <s v="MA-005"/>
    <x v="2"/>
    <s v="Watertown"/>
    <s v="MA"/>
    <x v="0"/>
    <x v="3"/>
    <s v="Hot Fudge Sundae"/>
    <n v="2"/>
    <n v="1.99"/>
    <n v="3.98"/>
    <n v="0"/>
    <n v="3.98"/>
    <n v="2.17"/>
    <n v="1.81"/>
    <x v="2"/>
    <s v="Cash"/>
    <x v="0"/>
    <s v="Light"/>
  </r>
  <r>
    <s v="ORD-00319"/>
    <x v="111"/>
    <s v="Q3"/>
    <s v="Wednesday"/>
    <x v="0"/>
    <s v="(6am-12pm)"/>
    <s v="MA-004"/>
    <x v="0"/>
    <s v="Boston"/>
    <s v="MA"/>
    <x v="0"/>
    <x v="3"/>
    <s v="Hot Fudge Sundae"/>
    <n v="3"/>
    <n v="1.99"/>
    <n v="5.97"/>
    <n v="0.3"/>
    <n v="5.67"/>
    <n v="2.12"/>
    <n v="3.55"/>
    <x v="4"/>
    <s v="Credit Card"/>
    <x v="0"/>
    <s v="Light"/>
  </r>
  <r>
    <s v="ORD-00005"/>
    <x v="112"/>
    <s v="Q3"/>
    <s v="Thursday"/>
    <x v="3"/>
    <s v="(12pm-6pm)"/>
    <s v="MA-010"/>
    <x v="8"/>
    <s v="Hyannis"/>
    <s v="MA"/>
    <x v="4"/>
    <x v="0"/>
    <s v="Bottled Water"/>
    <n v="1"/>
    <n v="1.5"/>
    <n v="1.5"/>
    <n v="0.15"/>
    <n v="1.35"/>
    <n v="0.74"/>
    <n v="0.61"/>
    <x v="3"/>
    <s v="Debit Card"/>
    <x v="0"/>
    <s v="Moderate"/>
  </r>
  <r>
    <s v="ORD-00136"/>
    <x v="113"/>
    <s v="Q3"/>
    <s v="Friday"/>
    <x v="0"/>
    <s v="(6am-12pm)"/>
    <s v="MA-004"/>
    <x v="0"/>
    <s v="Boston"/>
    <s v="MA"/>
    <x v="0"/>
    <x v="4"/>
    <s v="Side Salad"/>
    <n v="1"/>
    <n v="3.34"/>
    <n v="3.34"/>
    <n v="0"/>
    <n v="3.34"/>
    <n v="1.53"/>
    <n v="1.81"/>
    <x v="5"/>
    <s v="Apple Pay"/>
    <x v="0"/>
    <s v="Light"/>
  </r>
  <r>
    <s v="ORD-00130"/>
    <x v="113"/>
    <s v="Q3"/>
    <s v="Friday"/>
    <x v="1"/>
    <s v="(12am-6am)"/>
    <s v="MA-006"/>
    <x v="9"/>
    <s v="Marlborough"/>
    <s v="MA"/>
    <x v="2"/>
    <x v="3"/>
    <s v="Apple Pie"/>
    <n v="2"/>
    <n v="1.48"/>
    <n v="2.96"/>
    <n v="0.15"/>
    <n v="2.81"/>
    <n v="1.43"/>
    <n v="1.38"/>
    <x v="1"/>
    <s v="Cash"/>
    <x v="0"/>
    <s v="Light"/>
  </r>
  <r>
    <s v="ORD-00253"/>
    <x v="114"/>
    <s v="Q3"/>
    <s v="Sunday"/>
    <x v="2"/>
    <s v="(6pm-12am)"/>
    <s v="MA-008"/>
    <x v="1"/>
    <s v="Peabody"/>
    <s v="MA"/>
    <x v="1"/>
    <x v="4"/>
    <s v="McNuggets 6pc"/>
    <n v="2"/>
    <n v="4.59"/>
    <n v="9.18"/>
    <n v="0.92"/>
    <n v="8.26"/>
    <n v="3.04"/>
    <n v="5.22"/>
    <x v="2"/>
    <s v="EBT"/>
    <x v="1"/>
    <s v="Moderate"/>
  </r>
  <r>
    <s v="ORD-00149"/>
    <x v="114"/>
    <s v="Q3"/>
    <s v="Sunday"/>
    <x v="3"/>
    <s v="(12pm-6pm)"/>
    <s v="MA-007"/>
    <x v="7"/>
    <s v="Burlington"/>
    <s v="MA"/>
    <x v="1"/>
    <x v="4"/>
    <s v="McNuggets 10pc"/>
    <n v="4"/>
    <n v="6.45"/>
    <n v="25.8"/>
    <n v="5.16"/>
    <n v="20.64"/>
    <n v="9.27"/>
    <n v="11.37"/>
    <x v="2"/>
    <s v="Cash"/>
    <x v="0"/>
    <s v="Aggressive"/>
  </r>
  <r>
    <s v="ORD-00100"/>
    <x v="115"/>
    <s v="Q3"/>
    <s v="Monday"/>
    <x v="3"/>
    <s v="(12pm-6pm)"/>
    <s v="MA-009"/>
    <x v="5"/>
    <s v="Kingston"/>
    <s v="MA"/>
    <x v="3"/>
    <x v="4"/>
    <s v="Side Salad"/>
    <n v="3"/>
    <n v="3.22"/>
    <n v="9.66"/>
    <n v="0"/>
    <n v="9.66"/>
    <n v="3.57"/>
    <n v="6.09"/>
    <x v="2"/>
    <s v="Google Pay"/>
    <x v="1"/>
    <s v="Light"/>
  </r>
  <r>
    <s v="ORD-00154"/>
    <x v="115"/>
    <s v="Q3"/>
    <s v="Monday"/>
    <x v="1"/>
    <s v="(12am-6am)"/>
    <s v="MA-006"/>
    <x v="9"/>
    <s v="Marlborough"/>
    <s v="MA"/>
    <x v="2"/>
    <x v="4"/>
    <s v="Medium Fries"/>
    <n v="2"/>
    <n v="2.79"/>
    <n v="5.58"/>
    <n v="0"/>
    <n v="5.58"/>
    <n v="2.68"/>
    <n v="2.9"/>
    <x v="3"/>
    <s v="Debit Card"/>
    <x v="1"/>
    <s v="Light"/>
  </r>
  <r>
    <s v="ORD-00257"/>
    <x v="116"/>
    <s v="Q3"/>
    <s v="Tuesday"/>
    <x v="1"/>
    <s v="(12am-6am)"/>
    <s v="MA-003"/>
    <x v="3"/>
    <s v="Boston"/>
    <s v="MA"/>
    <x v="0"/>
    <x v="5"/>
    <s v="McChicken"/>
    <n v="2"/>
    <n v="3.33"/>
    <n v="6.66"/>
    <n v="0.67"/>
    <n v="5.99"/>
    <n v="2.61"/>
    <n v="3.38"/>
    <x v="4"/>
    <s v="EBT"/>
    <x v="4"/>
    <s v="Moderate"/>
  </r>
  <r>
    <s v="ORD-00111"/>
    <x v="117"/>
    <s v="Q3"/>
    <s v="Wednesday"/>
    <x v="1"/>
    <s v="(12am-6am)"/>
    <s v="MA-003"/>
    <x v="3"/>
    <s v="Boston"/>
    <s v="MA"/>
    <x v="0"/>
    <x v="1"/>
    <s v="Blueberry Muffin"/>
    <n v="1"/>
    <n v="2.54"/>
    <n v="2.54"/>
    <n v="0"/>
    <n v="2.54"/>
    <n v="0.94"/>
    <n v="1.6"/>
    <x v="1"/>
    <s v="Cash"/>
    <x v="0"/>
    <s v="Light"/>
  </r>
  <r>
    <s v="ORD-00140"/>
    <x v="117"/>
    <s v="Q3"/>
    <s v="Wednesday"/>
    <x v="1"/>
    <s v="(12am-6am)"/>
    <s v="MA-004"/>
    <x v="0"/>
    <s v="Boston"/>
    <s v="MA"/>
    <x v="0"/>
    <x v="4"/>
    <s v="Medium Fries"/>
    <n v="1"/>
    <n v="2.71"/>
    <n v="2.71"/>
    <n v="0.41"/>
    <n v="2.2999999999999998"/>
    <n v="1.19"/>
    <n v="1.1100000000000001"/>
    <x v="1"/>
    <s v="Cash"/>
    <x v="2"/>
    <s v="Heavy"/>
  </r>
  <r>
    <s v="ORD-00334"/>
    <x v="117"/>
    <s v="Q3"/>
    <s v="Wednesday"/>
    <x v="0"/>
    <s v="(6am-12pm)"/>
    <s v="MA-001"/>
    <x v="6"/>
    <s v="Natick"/>
    <s v="MA"/>
    <x v="2"/>
    <x v="3"/>
    <s v="Soft Serve Cone"/>
    <n v="1"/>
    <n v="1.01"/>
    <n v="1.01"/>
    <n v="0.05"/>
    <n v="0.96"/>
    <n v="0.38"/>
    <n v="0.57999999999999996"/>
    <x v="1"/>
    <s v="Cash"/>
    <x v="2"/>
    <s v="Light"/>
  </r>
  <r>
    <s v="ORD-00011"/>
    <x v="118"/>
    <s v="Q3"/>
    <s v="Sunday"/>
    <x v="3"/>
    <s v="(12pm-6pm)"/>
    <s v="MA-010"/>
    <x v="8"/>
    <s v="Hyannis"/>
    <s v="MA"/>
    <x v="4"/>
    <x v="4"/>
    <s v="Side Salad"/>
    <n v="1"/>
    <n v="3.3"/>
    <n v="3.3"/>
    <n v="0.49"/>
    <n v="2.81"/>
    <n v="1.37"/>
    <n v="1.44"/>
    <x v="4"/>
    <s v="EBT"/>
    <x v="1"/>
    <s v="Heavy"/>
  </r>
  <r>
    <s v="ORD-00335"/>
    <x v="119"/>
    <s v="Q3"/>
    <s v="Monday"/>
    <x v="2"/>
    <s v="(6pm-12am)"/>
    <s v="MA-009"/>
    <x v="5"/>
    <s v="Kingston"/>
    <s v="MA"/>
    <x v="3"/>
    <x v="2"/>
    <s v="Quarter Pounder Combo"/>
    <n v="1"/>
    <n v="11.2"/>
    <n v="11.2"/>
    <n v="0"/>
    <n v="11.2"/>
    <n v="4.57"/>
    <n v="6.63"/>
    <x v="1"/>
    <s v="Google Pay"/>
    <x v="0"/>
    <s v="Light"/>
  </r>
  <r>
    <s v="ORD-00226"/>
    <x v="120"/>
    <s v="Q3"/>
    <s v="Wednesday"/>
    <x v="1"/>
    <s v="(12am-6am)"/>
    <s v="MA-002"/>
    <x v="4"/>
    <s v="Framingham"/>
    <s v="MA"/>
    <x v="2"/>
    <x v="1"/>
    <s v="Croissant"/>
    <n v="4"/>
    <n v="3.08"/>
    <n v="12.32"/>
    <n v="0.62"/>
    <n v="11.7"/>
    <n v="4.49"/>
    <n v="7.21"/>
    <x v="2"/>
    <s v="Credit Card"/>
    <x v="0"/>
    <s v="Light"/>
  </r>
  <r>
    <s v="ORD-00224"/>
    <x v="121"/>
    <s v="Q3"/>
    <s v="Thursday"/>
    <x v="1"/>
    <s v="(12am-6am)"/>
    <s v="MA-006"/>
    <x v="9"/>
    <s v="Marlborough"/>
    <s v="MA"/>
    <x v="2"/>
    <x v="3"/>
    <s v="McFlurry Oreo"/>
    <n v="1"/>
    <n v="3.89"/>
    <n v="3.89"/>
    <n v="0"/>
    <n v="3.89"/>
    <n v="1.95"/>
    <n v="1.94"/>
    <x v="4"/>
    <s v="Credit Card"/>
    <x v="2"/>
    <s v="Light"/>
  </r>
  <r>
    <s v="ORD-00279"/>
    <x v="122"/>
    <s v="Q3"/>
    <s v="Saturday"/>
    <x v="2"/>
    <s v="(6pm-12am)"/>
    <s v="MA-002"/>
    <x v="4"/>
    <s v="Framingham"/>
    <s v="MA"/>
    <x v="2"/>
    <x v="2"/>
    <s v="Big Mac Combo"/>
    <n v="2"/>
    <n v="10.78"/>
    <n v="21.56"/>
    <n v="0"/>
    <n v="21.56"/>
    <n v="8.67"/>
    <n v="12.89"/>
    <x v="5"/>
    <s v="Apple Pay"/>
    <x v="1"/>
    <s v="Light"/>
  </r>
  <r>
    <s v="ORD-00097"/>
    <x v="123"/>
    <s v="Q3"/>
    <s v="Sunday"/>
    <x v="0"/>
    <s v="(6am-12pm)"/>
    <s v="MA-001"/>
    <x v="6"/>
    <s v="Natick"/>
    <s v="MA"/>
    <x v="2"/>
    <x v="3"/>
    <s v="Soft Serve Cone"/>
    <n v="1"/>
    <n v="0.99"/>
    <n v="0.99"/>
    <n v="0.1"/>
    <n v="0.89"/>
    <n v="0.36"/>
    <n v="0.53"/>
    <x v="2"/>
    <s v="EBT"/>
    <x v="2"/>
    <s v="Moderate"/>
  </r>
  <r>
    <s v="ORD-00181"/>
    <x v="123"/>
    <s v="Q3"/>
    <s v="Sunday"/>
    <x v="2"/>
    <s v="(6pm-12am)"/>
    <s v="MA-006"/>
    <x v="9"/>
    <s v="Marlborough"/>
    <s v="MA"/>
    <x v="2"/>
    <x v="0"/>
    <s v="McCafe Frappe"/>
    <n v="1"/>
    <n v="4.6100000000000003"/>
    <n v="4.6100000000000003"/>
    <n v="0"/>
    <n v="4.6100000000000003"/>
    <n v="2.4700000000000002"/>
    <n v="2.14"/>
    <x v="1"/>
    <s v="Cash"/>
    <x v="0"/>
    <s v="Light"/>
  </r>
  <r>
    <s v="ORD-00036"/>
    <x v="124"/>
    <s v="Q3"/>
    <s v="Tuesday"/>
    <x v="1"/>
    <s v="(12am-6am)"/>
    <s v="MA-009"/>
    <x v="5"/>
    <s v="Kingston"/>
    <s v="MA"/>
    <x v="3"/>
    <x v="3"/>
    <s v="McFlurry Oreo"/>
    <n v="1"/>
    <n v="3.9"/>
    <n v="3.9"/>
    <n v="0"/>
    <n v="3.9"/>
    <n v="2.12"/>
    <n v="1.78"/>
    <x v="5"/>
    <s v="Debit Card"/>
    <x v="0"/>
    <s v="Light"/>
  </r>
  <r>
    <s v="ORD-00020"/>
    <x v="125"/>
    <s v="Q3"/>
    <s v="Thursday"/>
    <x v="1"/>
    <s v="(12am-6am)"/>
    <s v="MA-006"/>
    <x v="9"/>
    <s v="Marlborough"/>
    <s v="MA"/>
    <x v="2"/>
    <x v="5"/>
    <s v="Quarter Pounder w/ Cheese"/>
    <n v="1"/>
    <n v="6"/>
    <n v="6"/>
    <n v="0"/>
    <n v="6"/>
    <n v="2.3199999999999998"/>
    <n v="3.68"/>
    <x v="2"/>
    <s v="Credit Card"/>
    <x v="0"/>
    <s v="Light"/>
  </r>
  <r>
    <s v="ORD-00122"/>
    <x v="126"/>
    <s v="Q3"/>
    <s v="Friday"/>
    <x v="1"/>
    <s v="(12am-6am)"/>
    <s v="MA-001"/>
    <x v="6"/>
    <s v="Natick"/>
    <s v="MA"/>
    <x v="2"/>
    <x v="3"/>
    <s v="McFlurry M&amp;M"/>
    <n v="3"/>
    <n v="3.82"/>
    <n v="11.46"/>
    <n v="1.1499999999999999"/>
    <n v="10.31"/>
    <n v="5.51"/>
    <n v="4.8"/>
    <x v="4"/>
    <s v="Apple Pay"/>
    <x v="0"/>
    <s v="Moderate"/>
  </r>
  <r>
    <s v="ORD-00251"/>
    <x v="127"/>
    <s v="Q3"/>
    <s v="Monday"/>
    <x v="3"/>
    <s v="(12pm-6pm)"/>
    <s v="MA-001"/>
    <x v="6"/>
    <s v="Natick"/>
    <s v="MA"/>
    <x v="2"/>
    <x v="3"/>
    <s v="McFlurry M&amp;M"/>
    <n v="3"/>
    <n v="3.71"/>
    <n v="11.13"/>
    <n v="0"/>
    <n v="11.13"/>
    <n v="4.6100000000000003"/>
    <n v="6.52"/>
    <x v="3"/>
    <s v="EBT"/>
    <x v="0"/>
    <s v="Light"/>
  </r>
  <r>
    <s v="ORD-00288"/>
    <x v="127"/>
    <s v="Q3"/>
    <s v="Monday"/>
    <x v="2"/>
    <s v="(6pm-12am)"/>
    <s v="MA-009"/>
    <x v="5"/>
    <s v="Kingston"/>
    <s v="MA"/>
    <x v="3"/>
    <x v="4"/>
    <s v="Medium Fries"/>
    <n v="1"/>
    <n v="2.77"/>
    <n v="2.77"/>
    <n v="0"/>
    <n v="2.77"/>
    <n v="1.33"/>
    <n v="1.44"/>
    <x v="0"/>
    <s v="Credit Card"/>
    <x v="1"/>
    <s v="Light"/>
  </r>
  <r>
    <s v="ORD-00261"/>
    <x v="127"/>
    <s v="Q3"/>
    <s v="Monday"/>
    <x v="3"/>
    <s v="(12pm-6pm)"/>
    <s v="MA-010"/>
    <x v="8"/>
    <s v="Hyannis"/>
    <s v="MA"/>
    <x v="4"/>
    <x v="1"/>
    <s v="Blueberry Muffin"/>
    <n v="4"/>
    <n v="2.4300000000000002"/>
    <n v="9.7200000000000006"/>
    <n v="0"/>
    <n v="9.7200000000000006"/>
    <n v="4.8600000000000003"/>
    <n v="4.8600000000000003"/>
    <x v="0"/>
    <s v="EBT"/>
    <x v="0"/>
    <s v="Light"/>
  </r>
  <r>
    <s v="ORD-00331"/>
    <x v="128"/>
    <s v="Q3"/>
    <s v="Tuesday"/>
    <x v="0"/>
    <s v="(6am-12pm)"/>
    <s v="MA-001"/>
    <x v="6"/>
    <s v="Natick"/>
    <s v="MA"/>
    <x v="2"/>
    <x v="0"/>
    <s v="Soft Drink L"/>
    <n v="5"/>
    <n v="2.4700000000000002"/>
    <n v="12.35"/>
    <n v="2.4700000000000002"/>
    <n v="9.8800000000000008"/>
    <n v="5.22"/>
    <n v="4.66"/>
    <x v="2"/>
    <s v="Credit Card"/>
    <x v="1"/>
    <s v="Aggressive"/>
  </r>
  <r>
    <s v="ORD-00210"/>
    <x v="128"/>
    <s v="Q3"/>
    <s v="Tuesday"/>
    <x v="0"/>
    <s v="(6am-12pm)"/>
    <s v="MA-001"/>
    <x v="6"/>
    <s v="Natick"/>
    <s v="MA"/>
    <x v="2"/>
    <x v="2"/>
    <s v="McChicken Combo"/>
    <n v="3"/>
    <n v="9.2100000000000009"/>
    <n v="27.63"/>
    <n v="1.38"/>
    <n v="26.25"/>
    <n v="12.25"/>
    <n v="14"/>
    <x v="1"/>
    <s v="Apple Pay"/>
    <x v="2"/>
    <s v="Light"/>
  </r>
  <r>
    <s v="ORD-00144"/>
    <x v="129"/>
    <s v="Q3"/>
    <s v="Thursday"/>
    <x v="1"/>
    <s v="(12am-6am)"/>
    <s v="MA-003"/>
    <x v="3"/>
    <s v="Boston"/>
    <s v="MA"/>
    <x v="0"/>
    <x v="1"/>
    <s v="Espresso"/>
    <n v="2"/>
    <n v="1.97"/>
    <n v="3.94"/>
    <n v="0.79"/>
    <n v="3.15"/>
    <n v="1.45"/>
    <n v="1.7"/>
    <x v="0"/>
    <s v="Google Pay"/>
    <x v="0"/>
    <s v="Aggressive"/>
  </r>
  <r>
    <s v="ORD-00068"/>
    <x v="129"/>
    <s v="Q3"/>
    <s v="Thursday"/>
    <x v="0"/>
    <s v="(6am-12pm)"/>
    <s v="MA-010"/>
    <x v="8"/>
    <s v="Hyannis"/>
    <s v="MA"/>
    <x v="4"/>
    <x v="2"/>
    <s v="McChicken Combo"/>
    <n v="3"/>
    <n v="9.42"/>
    <n v="28.26"/>
    <n v="4.24"/>
    <n v="24.02"/>
    <n v="9.84"/>
    <n v="14.18"/>
    <x v="0"/>
    <s v="Apple Pay"/>
    <x v="0"/>
    <s v="Heavy"/>
  </r>
  <r>
    <s v="ORD-00301"/>
    <x v="130"/>
    <s v="Q3"/>
    <s v="Friday"/>
    <x v="2"/>
    <s v="(6pm-12am)"/>
    <s v="MA-003"/>
    <x v="3"/>
    <s v="Boston"/>
    <s v="MA"/>
    <x v="0"/>
    <x v="4"/>
    <s v="McNuggets 10pc"/>
    <n v="4"/>
    <n v="6.43"/>
    <n v="25.72"/>
    <n v="0"/>
    <n v="25.72"/>
    <n v="13.27"/>
    <n v="12.45"/>
    <x v="0"/>
    <s v="EBT"/>
    <x v="2"/>
    <s v="Light"/>
  </r>
  <r>
    <s v="ORD-00273"/>
    <x v="130"/>
    <s v="Q3"/>
    <s v="Friday"/>
    <x v="3"/>
    <s v="(12pm-6pm)"/>
    <s v="MA-004"/>
    <x v="0"/>
    <s v="Boston"/>
    <s v="MA"/>
    <x v="0"/>
    <x v="3"/>
    <s v="McFlurry M&amp;M"/>
    <n v="2"/>
    <n v="3.84"/>
    <n v="7.68"/>
    <n v="0"/>
    <n v="7.68"/>
    <n v="2.81"/>
    <n v="4.87"/>
    <x v="5"/>
    <s v="Debit Card"/>
    <x v="1"/>
    <s v="Light"/>
  </r>
  <r>
    <s v="ORD-00323"/>
    <x v="131"/>
    <s v="Q3"/>
    <s v="Sunday"/>
    <x v="1"/>
    <s v="(12am-6am)"/>
    <s v="MA-007"/>
    <x v="7"/>
    <s v="Burlington"/>
    <s v="MA"/>
    <x v="1"/>
    <x v="3"/>
    <s v="Apple Pie"/>
    <n v="1"/>
    <n v="1.49"/>
    <n v="1.49"/>
    <n v="7.0000000000000007E-2"/>
    <n v="1.42"/>
    <n v="0.73"/>
    <n v="0.69"/>
    <x v="2"/>
    <s v="Google Pay"/>
    <x v="4"/>
    <s v="Light"/>
  </r>
  <r>
    <s v="ORD-00262"/>
    <x v="132"/>
    <s v="Q3"/>
    <s v="Wednesday"/>
    <x v="2"/>
    <s v="(6pm-12am)"/>
    <s v="MA-006"/>
    <x v="9"/>
    <s v="Marlborough"/>
    <s v="MA"/>
    <x v="2"/>
    <x v="0"/>
    <s v="Soft Drink L"/>
    <n v="1"/>
    <n v="2.4300000000000002"/>
    <n v="2.4300000000000002"/>
    <n v="0.12"/>
    <n v="2.31"/>
    <n v="1.0900000000000001"/>
    <n v="1.22"/>
    <x v="0"/>
    <s v="Cash"/>
    <x v="4"/>
    <s v="Light"/>
  </r>
  <r>
    <s v="ORD-00256"/>
    <x v="132"/>
    <s v="Q3"/>
    <s v="Wednesday"/>
    <x v="0"/>
    <s v="(6am-12pm)"/>
    <s v="MA-004"/>
    <x v="0"/>
    <s v="Boston"/>
    <s v="MA"/>
    <x v="0"/>
    <x v="1"/>
    <s v="Latte"/>
    <n v="4"/>
    <n v="3.74"/>
    <n v="14.96"/>
    <n v="2.2400000000000002"/>
    <n v="12.72"/>
    <n v="6.68"/>
    <n v="6.04"/>
    <x v="4"/>
    <s v="EBT"/>
    <x v="0"/>
    <s v="Heavy"/>
  </r>
  <r>
    <s v="ORD-00032"/>
    <x v="133"/>
    <s v="Q3"/>
    <s v="Thursday"/>
    <x v="2"/>
    <s v="(6pm-12am)"/>
    <s v="MA-003"/>
    <x v="3"/>
    <s v="Boston"/>
    <s v="MA"/>
    <x v="0"/>
    <x v="5"/>
    <s v="McDouble"/>
    <n v="1"/>
    <n v="3.58"/>
    <n v="3.58"/>
    <n v="0.72"/>
    <n v="2.86"/>
    <n v="1.02"/>
    <n v="1.84"/>
    <x v="5"/>
    <s v="Credit Card"/>
    <x v="0"/>
    <s v="Aggressive"/>
  </r>
  <r>
    <s v="ORD-00229"/>
    <x v="133"/>
    <s v="Q3"/>
    <s v="Thursday"/>
    <x v="0"/>
    <s v="(6am-12pm)"/>
    <s v="MA-010"/>
    <x v="8"/>
    <s v="Hyannis"/>
    <s v="MA"/>
    <x v="4"/>
    <x v="0"/>
    <s v="McCafe Frappe"/>
    <n v="1"/>
    <n v="4.6100000000000003"/>
    <n v="4.6100000000000003"/>
    <n v="0"/>
    <n v="4.6100000000000003"/>
    <n v="1.9"/>
    <n v="2.71"/>
    <x v="2"/>
    <s v="Cash"/>
    <x v="1"/>
    <s v="Light"/>
  </r>
  <r>
    <s v="ORD-00336"/>
    <x v="134"/>
    <s v="Q3"/>
    <s v="Saturday"/>
    <x v="0"/>
    <s v="(6am-12pm)"/>
    <s v="MA-003"/>
    <x v="3"/>
    <s v="Boston"/>
    <s v="MA"/>
    <x v="0"/>
    <x v="3"/>
    <s v="Apple Pie"/>
    <n v="1"/>
    <n v="1.46"/>
    <n v="1.46"/>
    <n v="0.22"/>
    <n v="1.24"/>
    <n v="0.66"/>
    <n v="0.57999999999999996"/>
    <x v="2"/>
    <s v="Debit Card"/>
    <x v="2"/>
    <s v="Heavy"/>
  </r>
  <r>
    <s v="ORD-00345"/>
    <x v="135"/>
    <s v="Q3"/>
    <s v="Monday"/>
    <x v="3"/>
    <s v="(12pm-6pm)"/>
    <s v="MA-010"/>
    <x v="8"/>
    <s v="Hyannis"/>
    <s v="MA"/>
    <x v="4"/>
    <x v="3"/>
    <s v="McFlurry Oreo"/>
    <n v="1"/>
    <n v="3.75"/>
    <n v="3.75"/>
    <n v="0"/>
    <n v="3.75"/>
    <n v="1.61"/>
    <n v="2.14"/>
    <x v="2"/>
    <s v="Cash"/>
    <x v="1"/>
    <s v="Light"/>
  </r>
  <r>
    <s v="ORD-00177"/>
    <x v="136"/>
    <s v="Q3"/>
    <s v="Tuesday"/>
    <x v="2"/>
    <s v="(6pm-12am)"/>
    <s v="MA-006"/>
    <x v="9"/>
    <s v="Marlborough"/>
    <s v="MA"/>
    <x v="2"/>
    <x v="4"/>
    <s v="Large Fries"/>
    <n v="2"/>
    <n v="3.43"/>
    <n v="6.86"/>
    <n v="0.34"/>
    <n v="6.52"/>
    <n v="3.08"/>
    <n v="3.44"/>
    <x v="2"/>
    <s v="EBT"/>
    <x v="3"/>
    <s v="Light"/>
  </r>
  <r>
    <s v="ORD-00041"/>
    <x v="137"/>
    <s v="Q3"/>
    <s v="Wednesday"/>
    <x v="0"/>
    <s v="(6am-12pm)"/>
    <s v="MA-008"/>
    <x v="1"/>
    <s v="Peabody"/>
    <s v="MA"/>
    <x v="1"/>
    <x v="1"/>
    <s v="Latte"/>
    <n v="2"/>
    <n v="3.86"/>
    <n v="7.72"/>
    <n v="1.54"/>
    <n v="6.18"/>
    <n v="3.07"/>
    <n v="3.11"/>
    <x v="1"/>
    <s v="Debit Card"/>
    <x v="0"/>
    <s v="Aggressive"/>
  </r>
  <r>
    <s v="ORD-00118"/>
    <x v="137"/>
    <s v="Q3"/>
    <s v="Wednesday"/>
    <x v="3"/>
    <s v="(12pm-6pm)"/>
    <s v="MA-007"/>
    <x v="7"/>
    <s v="Burlington"/>
    <s v="MA"/>
    <x v="1"/>
    <x v="3"/>
    <s v="McFlurry M&amp;M"/>
    <n v="3"/>
    <n v="3.7"/>
    <n v="11.1"/>
    <n v="0"/>
    <n v="11.1"/>
    <n v="4.51"/>
    <n v="6.59"/>
    <x v="1"/>
    <s v="Google Pay"/>
    <x v="0"/>
    <s v="Light"/>
  </r>
  <r>
    <s v="ORD-00108"/>
    <x v="138"/>
    <s v="Q3"/>
    <s v="Thursday"/>
    <x v="0"/>
    <s v="(6am-12pm)"/>
    <s v="MA-002"/>
    <x v="4"/>
    <s v="Framingham"/>
    <s v="MA"/>
    <x v="2"/>
    <x v="5"/>
    <s v="McDouble"/>
    <n v="2"/>
    <n v="3.4"/>
    <n v="6.8"/>
    <n v="0"/>
    <n v="6.8"/>
    <n v="3.24"/>
    <n v="3.56"/>
    <x v="0"/>
    <s v="EBT"/>
    <x v="0"/>
    <s v="Light"/>
  </r>
  <r>
    <s v="ORD-00320"/>
    <x v="139"/>
    <s v="Q3"/>
    <s v="Friday"/>
    <x v="0"/>
    <s v="(6am-12pm)"/>
    <s v="MA-003"/>
    <x v="3"/>
    <s v="Boston"/>
    <s v="MA"/>
    <x v="0"/>
    <x v="4"/>
    <s v="Side Salad"/>
    <n v="2"/>
    <n v="3.26"/>
    <n v="6.52"/>
    <n v="0.65"/>
    <n v="5.87"/>
    <n v="2.36"/>
    <n v="3.51"/>
    <x v="1"/>
    <s v="Debit Card"/>
    <x v="4"/>
    <s v="Moderate"/>
  </r>
  <r>
    <s v="ORD-00151"/>
    <x v="139"/>
    <s v="Q3"/>
    <s v="Friday"/>
    <x v="3"/>
    <s v="(12pm-6pm)"/>
    <s v="MA-010"/>
    <x v="8"/>
    <s v="Hyannis"/>
    <s v="MA"/>
    <x v="4"/>
    <x v="1"/>
    <s v="Blueberry Muffin"/>
    <n v="1"/>
    <n v="2.48"/>
    <n v="2.48"/>
    <n v="0"/>
    <n v="2.48"/>
    <n v="1.23"/>
    <n v="1.25"/>
    <x v="5"/>
    <s v="Google Pay"/>
    <x v="0"/>
    <s v="Light"/>
  </r>
  <r>
    <s v="ORD-00225"/>
    <x v="140"/>
    <s v="Q3"/>
    <s v="Saturday"/>
    <x v="1"/>
    <s v="(12am-6am)"/>
    <s v="MA-009"/>
    <x v="5"/>
    <s v="Kingston"/>
    <s v="MA"/>
    <x v="3"/>
    <x v="2"/>
    <s v="Happy Meal"/>
    <n v="1"/>
    <n v="6.82"/>
    <n v="6.82"/>
    <n v="0.34"/>
    <n v="6.48"/>
    <n v="3.04"/>
    <n v="3.44"/>
    <x v="5"/>
    <s v="Apple Pay"/>
    <x v="0"/>
    <s v="Light"/>
  </r>
  <r>
    <s v="ORD-00129"/>
    <x v="141"/>
    <s v="Q3"/>
    <s v="Sunday"/>
    <x v="3"/>
    <s v="(12pm-6pm)"/>
    <s v="MA-002"/>
    <x v="4"/>
    <s v="Framingham"/>
    <s v="MA"/>
    <x v="2"/>
    <x v="3"/>
    <s v="McFlurry Oreo"/>
    <n v="2"/>
    <n v="3.72"/>
    <n v="7.44"/>
    <n v="0"/>
    <n v="7.44"/>
    <n v="3.26"/>
    <n v="4.18"/>
    <x v="2"/>
    <s v="Google Pay"/>
    <x v="0"/>
    <s v="Light"/>
  </r>
  <r>
    <s v="ORD-00302"/>
    <x v="142"/>
    <s v="Q3"/>
    <s v="Monday"/>
    <x v="2"/>
    <s v="(6pm-12am)"/>
    <s v="MA-002"/>
    <x v="4"/>
    <s v="Framingham"/>
    <s v="MA"/>
    <x v="2"/>
    <x v="5"/>
    <s v="McDouble"/>
    <n v="1"/>
    <n v="3.44"/>
    <n v="3.44"/>
    <n v="0"/>
    <n v="3.44"/>
    <n v="1.44"/>
    <n v="2"/>
    <x v="2"/>
    <s v="Credit Card"/>
    <x v="3"/>
    <s v="Light"/>
  </r>
  <r>
    <s v="ORD-00165"/>
    <x v="143"/>
    <s v="Q3"/>
    <s v="Tuesday"/>
    <x v="2"/>
    <s v="(6pm-12am)"/>
    <s v="MA-002"/>
    <x v="4"/>
    <s v="Framingham"/>
    <s v="MA"/>
    <x v="2"/>
    <x v="1"/>
    <s v="Espresso"/>
    <n v="1"/>
    <n v="1.98"/>
    <n v="1.98"/>
    <n v="0"/>
    <n v="1.98"/>
    <n v="0.83"/>
    <n v="1.1499999999999999"/>
    <x v="3"/>
    <s v="Cash"/>
    <x v="0"/>
    <s v="Light"/>
  </r>
  <r>
    <s v="ORD-00275"/>
    <x v="144"/>
    <s v="Q3"/>
    <s v="Wednesday"/>
    <x v="3"/>
    <s v="(12pm-6pm)"/>
    <s v="MA-001"/>
    <x v="6"/>
    <s v="Natick"/>
    <s v="MA"/>
    <x v="2"/>
    <x v="3"/>
    <s v="McFlurry M&amp;M"/>
    <n v="1"/>
    <n v="3.85"/>
    <n v="3.85"/>
    <n v="0.39"/>
    <n v="3.46"/>
    <n v="1.38"/>
    <n v="2.08"/>
    <x v="5"/>
    <s v="Google Pay"/>
    <x v="1"/>
    <s v="Moderate"/>
  </r>
  <r>
    <s v="ORD-00242"/>
    <x v="145"/>
    <s v="Q3"/>
    <s v="Thursday"/>
    <x v="1"/>
    <s v="(12am-6am)"/>
    <s v="MA-010"/>
    <x v="8"/>
    <s v="Hyannis"/>
    <s v="MA"/>
    <x v="4"/>
    <x v="0"/>
    <s v="Bottled Water"/>
    <n v="3"/>
    <n v="1.47"/>
    <n v="4.41"/>
    <n v="0.22"/>
    <n v="4.1900000000000004"/>
    <n v="1.54"/>
    <n v="2.65"/>
    <x v="3"/>
    <s v="Cash"/>
    <x v="0"/>
    <s v="Light"/>
  </r>
  <r>
    <s v="ORD-00241"/>
    <x v="145"/>
    <s v="Q3"/>
    <s v="Thursday"/>
    <x v="0"/>
    <s v="(6am-12pm)"/>
    <s v="MA-002"/>
    <x v="4"/>
    <s v="Framingham"/>
    <s v="MA"/>
    <x v="2"/>
    <x v="3"/>
    <s v="Apple Pie"/>
    <n v="2"/>
    <n v="1.5"/>
    <n v="3"/>
    <n v="0.15"/>
    <n v="2.85"/>
    <n v="1.35"/>
    <n v="1.5"/>
    <x v="0"/>
    <s v="Debit Card"/>
    <x v="0"/>
    <s v="Light"/>
  </r>
  <r>
    <s v="ORD-00058"/>
    <x v="146"/>
    <s v="Q3"/>
    <s v="Friday"/>
    <x v="3"/>
    <s v="(12pm-6pm)"/>
    <s v="MA-003"/>
    <x v="3"/>
    <s v="Boston"/>
    <s v="MA"/>
    <x v="0"/>
    <x v="4"/>
    <s v="Large Fries"/>
    <n v="3"/>
    <n v="3.59"/>
    <n v="10.77"/>
    <n v="0"/>
    <n v="10.77"/>
    <n v="5.51"/>
    <n v="5.26"/>
    <x v="0"/>
    <s v="Apple Pay"/>
    <x v="0"/>
    <s v="Light"/>
  </r>
  <r>
    <s v="ORD-00035"/>
    <x v="146"/>
    <s v="Q3"/>
    <s v="Friday"/>
    <x v="0"/>
    <s v="(6am-12pm)"/>
    <s v="MA-006"/>
    <x v="9"/>
    <s v="Marlborough"/>
    <s v="MA"/>
    <x v="2"/>
    <x v="3"/>
    <s v="McFlurry M&amp;M"/>
    <n v="1"/>
    <n v="3.83"/>
    <n v="3.83"/>
    <n v="0"/>
    <n v="3.83"/>
    <n v="1.55"/>
    <n v="2.2799999999999998"/>
    <x v="4"/>
    <s v="Cash"/>
    <x v="1"/>
    <s v="Light"/>
  </r>
  <r>
    <s v="ORD-00128"/>
    <x v="147"/>
    <s v="Q3"/>
    <s v="Saturday"/>
    <x v="1"/>
    <s v="(12am-6am)"/>
    <s v="MA-010"/>
    <x v="8"/>
    <s v="Hyannis"/>
    <s v="MA"/>
    <x v="4"/>
    <x v="2"/>
    <s v="Big Mac Combo"/>
    <n v="2"/>
    <n v="10.68"/>
    <n v="21.36"/>
    <n v="1.07"/>
    <n v="20.29"/>
    <n v="8.41"/>
    <n v="11.88"/>
    <x v="2"/>
    <s v="Google Pay"/>
    <x v="1"/>
    <s v="Light"/>
  </r>
  <r>
    <s v="ORD-00045"/>
    <x v="148"/>
    <s v="Q3"/>
    <s v="Sunday"/>
    <x v="3"/>
    <s v="(12pm-6pm)"/>
    <s v="MA-009"/>
    <x v="5"/>
    <s v="Kingston"/>
    <s v="MA"/>
    <x v="3"/>
    <x v="2"/>
    <s v="Quarter Pounder Combo"/>
    <n v="5"/>
    <n v="11.25"/>
    <n v="56.25"/>
    <n v="2.81"/>
    <n v="53.44"/>
    <n v="26.39"/>
    <n v="27.05"/>
    <x v="0"/>
    <s v="Apple Pay"/>
    <x v="0"/>
    <s v="Light"/>
  </r>
  <r>
    <s v="ORD-00281"/>
    <x v="149"/>
    <s v="Q3"/>
    <s v="Monday"/>
    <x v="1"/>
    <s v="(12am-6am)"/>
    <s v="MA-006"/>
    <x v="9"/>
    <s v="Marlborough"/>
    <s v="MA"/>
    <x v="2"/>
    <x v="4"/>
    <s v="Medium Fries"/>
    <n v="2"/>
    <n v="2.87"/>
    <n v="5.74"/>
    <n v="0"/>
    <n v="5.74"/>
    <n v="2.36"/>
    <n v="3.38"/>
    <x v="5"/>
    <s v="Debit Card"/>
    <x v="2"/>
    <s v="Light"/>
  </r>
  <r>
    <s v="ORD-00187"/>
    <x v="150"/>
    <s v="Q3"/>
    <s v="Tuesday"/>
    <x v="0"/>
    <s v="(6am-12pm)"/>
    <s v="MA-005"/>
    <x v="2"/>
    <s v="Watertown"/>
    <s v="MA"/>
    <x v="0"/>
    <x v="0"/>
    <s v="Soft Drink M"/>
    <n v="1"/>
    <n v="2.02"/>
    <n v="2.02"/>
    <n v="0.1"/>
    <n v="1.92"/>
    <n v="0.95"/>
    <n v="0.97"/>
    <x v="4"/>
    <s v="EBT"/>
    <x v="1"/>
    <s v="Light"/>
  </r>
  <r>
    <s v="ORD-00330"/>
    <x v="151"/>
    <s v="Q3"/>
    <s v="Wednesday"/>
    <x v="3"/>
    <s v="(12pm-6pm)"/>
    <s v="MA-001"/>
    <x v="6"/>
    <s v="Natick"/>
    <s v="MA"/>
    <x v="2"/>
    <x v="1"/>
    <s v="Croissant"/>
    <n v="2"/>
    <n v="3.01"/>
    <n v="6.02"/>
    <n v="0"/>
    <n v="6.02"/>
    <n v="2.34"/>
    <n v="3.68"/>
    <x v="4"/>
    <s v="EBT"/>
    <x v="0"/>
    <s v="Light"/>
  </r>
  <r>
    <s v="ORD-00145"/>
    <x v="151"/>
    <s v="Q3"/>
    <s v="Wednesday"/>
    <x v="2"/>
    <s v="(6pm-12am)"/>
    <s v="MA-001"/>
    <x v="6"/>
    <s v="Natick"/>
    <s v="MA"/>
    <x v="2"/>
    <x v="1"/>
    <s v="Blueberry Muffin"/>
    <n v="5"/>
    <n v="2.4500000000000002"/>
    <n v="12.25"/>
    <n v="0"/>
    <n v="12.25"/>
    <n v="6.22"/>
    <n v="6.03"/>
    <x v="5"/>
    <s v="Credit Card"/>
    <x v="1"/>
    <s v="Light"/>
  </r>
  <r>
    <s v="ORD-00043"/>
    <x v="152"/>
    <s v="Q3"/>
    <s v="Saturday"/>
    <x v="0"/>
    <s v="(6am-12pm)"/>
    <s v="MA-010"/>
    <x v="8"/>
    <s v="Hyannis"/>
    <s v="MA"/>
    <x v="4"/>
    <x v="5"/>
    <s v="McChicken"/>
    <n v="2"/>
    <n v="3.32"/>
    <n v="6.64"/>
    <n v="0"/>
    <n v="6.64"/>
    <n v="3.25"/>
    <n v="3.39"/>
    <x v="2"/>
    <s v="Apple Pay"/>
    <x v="2"/>
    <s v="Light"/>
  </r>
  <r>
    <s v="ORD-00184"/>
    <x v="152"/>
    <s v="Q3"/>
    <s v="Saturday"/>
    <x v="2"/>
    <s v="(6pm-12am)"/>
    <s v="MA-008"/>
    <x v="1"/>
    <s v="Peabody"/>
    <s v="MA"/>
    <x v="1"/>
    <x v="1"/>
    <s v="Latte"/>
    <n v="3"/>
    <n v="3.74"/>
    <n v="11.22"/>
    <n v="0"/>
    <n v="11.22"/>
    <n v="4.0599999999999996"/>
    <n v="7.16"/>
    <x v="4"/>
    <s v="EBT"/>
    <x v="0"/>
    <s v="Light"/>
  </r>
  <r>
    <s v="ORD-00024"/>
    <x v="153"/>
    <s v="Q3"/>
    <s v="Sunday"/>
    <x v="0"/>
    <s v="(6am-12pm)"/>
    <s v="MA-009"/>
    <x v="5"/>
    <s v="Kingston"/>
    <s v="MA"/>
    <x v="3"/>
    <x v="2"/>
    <s v="McChicken Combo"/>
    <n v="1"/>
    <n v="9.49"/>
    <n v="9.49"/>
    <n v="1.42"/>
    <n v="8.07"/>
    <n v="2.94"/>
    <n v="5.13"/>
    <x v="4"/>
    <s v="EBT"/>
    <x v="0"/>
    <s v="Heavy"/>
  </r>
  <r>
    <s v="ORD-00346"/>
    <x v="153"/>
    <s v="Q3"/>
    <s v="Sunday"/>
    <x v="3"/>
    <s v="(12pm-6pm)"/>
    <s v="MA-007"/>
    <x v="7"/>
    <s v="Burlington"/>
    <s v="MA"/>
    <x v="1"/>
    <x v="1"/>
    <s v="Latte"/>
    <n v="1"/>
    <n v="3.83"/>
    <n v="3.83"/>
    <n v="0"/>
    <n v="3.83"/>
    <n v="2.06"/>
    <n v="1.77"/>
    <x v="3"/>
    <s v="Debit Card"/>
    <x v="1"/>
    <s v="Light"/>
  </r>
  <r>
    <s v="ORD-00258"/>
    <x v="153"/>
    <s v="Q3"/>
    <s v="Sunday"/>
    <x v="2"/>
    <s v="(6pm-12am)"/>
    <s v="MA-002"/>
    <x v="4"/>
    <s v="Framingham"/>
    <s v="MA"/>
    <x v="2"/>
    <x v="0"/>
    <s v="Orange Juice"/>
    <n v="1"/>
    <n v="2.82"/>
    <n v="2.82"/>
    <n v="0"/>
    <n v="2.82"/>
    <n v="1.38"/>
    <n v="1.44"/>
    <x v="4"/>
    <s v="Apple Pay"/>
    <x v="2"/>
    <s v="Light"/>
  </r>
  <r>
    <s v="ORD-00342"/>
    <x v="154"/>
    <s v="Q3"/>
    <s v="Tuesday"/>
    <x v="1"/>
    <s v="(12am-6am)"/>
    <s v="MA-006"/>
    <x v="9"/>
    <s v="Marlborough"/>
    <s v="MA"/>
    <x v="2"/>
    <x v="0"/>
    <s v="Soft Drink M"/>
    <n v="1"/>
    <n v="1.94"/>
    <n v="1.94"/>
    <n v="0"/>
    <n v="1.94"/>
    <n v="0.9"/>
    <n v="1.04"/>
    <x v="2"/>
    <s v="Credit Card"/>
    <x v="1"/>
    <s v="Light"/>
  </r>
  <r>
    <s v="ORD-00347"/>
    <x v="155"/>
    <s v="Q3"/>
    <s v="Wednesday"/>
    <x v="1"/>
    <s v="(12am-6am)"/>
    <s v="MA-010"/>
    <x v="8"/>
    <s v="Hyannis"/>
    <s v="MA"/>
    <x v="4"/>
    <x v="1"/>
    <s v="Blueberry Muffin"/>
    <n v="1"/>
    <n v="2.4700000000000002"/>
    <n v="2.4700000000000002"/>
    <n v="0"/>
    <n v="2.4700000000000002"/>
    <n v="0.88"/>
    <n v="1.59"/>
    <x v="1"/>
    <s v="EBT"/>
    <x v="0"/>
    <s v="Light"/>
  </r>
  <r>
    <s v="ORD-00236"/>
    <x v="155"/>
    <s v="Q3"/>
    <s v="Wednesday"/>
    <x v="0"/>
    <s v="(6am-12pm)"/>
    <s v="MA-002"/>
    <x v="4"/>
    <s v="Framingham"/>
    <s v="MA"/>
    <x v="2"/>
    <x v="3"/>
    <s v="Apple Pie"/>
    <n v="4"/>
    <n v="1.45"/>
    <n v="5.8"/>
    <n v="0.57999999999999996"/>
    <n v="5.22"/>
    <n v="2.59"/>
    <n v="2.63"/>
    <x v="5"/>
    <s v="Cash"/>
    <x v="0"/>
    <s v="Moderate"/>
  </r>
  <r>
    <s v="ORD-00348"/>
    <x v="156"/>
    <s v="Q3"/>
    <s v="Friday"/>
    <x v="2"/>
    <s v="(6pm-12am)"/>
    <s v="MA-002"/>
    <x v="4"/>
    <s v="Framingham"/>
    <s v="MA"/>
    <x v="2"/>
    <x v="4"/>
    <s v="McNuggets 10pc"/>
    <n v="1"/>
    <n v="6.4"/>
    <n v="6.4"/>
    <n v="0"/>
    <n v="6.4"/>
    <n v="3.14"/>
    <n v="3.26"/>
    <x v="1"/>
    <s v="Google Pay"/>
    <x v="0"/>
    <s v="Light"/>
  </r>
  <r>
    <s v="ORD-00212"/>
    <x v="157"/>
    <s v="Q3"/>
    <s v="Sunday"/>
    <x v="1"/>
    <s v="(12am-6am)"/>
    <s v="MA-008"/>
    <x v="1"/>
    <s v="Peabody"/>
    <s v="MA"/>
    <x v="1"/>
    <x v="0"/>
    <s v="Bottled Water"/>
    <n v="3"/>
    <n v="1.46"/>
    <n v="4.38"/>
    <n v="0.44"/>
    <n v="3.94"/>
    <n v="1.76"/>
    <n v="2.1800000000000002"/>
    <x v="0"/>
    <s v="EBT"/>
    <x v="0"/>
    <s v="Moderate"/>
  </r>
  <r>
    <s v="ORD-00156"/>
    <x v="157"/>
    <s v="Q3"/>
    <s v="Sunday"/>
    <x v="0"/>
    <s v="(6am-12pm)"/>
    <s v="MA-004"/>
    <x v="0"/>
    <s v="Boston"/>
    <s v="MA"/>
    <x v="0"/>
    <x v="5"/>
    <s v="Quarter Pounder w/ Cheese"/>
    <n v="4"/>
    <n v="5.97"/>
    <n v="23.88"/>
    <n v="3.58"/>
    <n v="20.3"/>
    <n v="8.91"/>
    <n v="11.39"/>
    <x v="4"/>
    <s v="EBT"/>
    <x v="1"/>
    <s v="Heavy"/>
  </r>
  <r>
    <s v="ORD-00228"/>
    <x v="158"/>
    <s v="Q3"/>
    <s v="Tuesday"/>
    <x v="0"/>
    <s v="(6am-12pm)"/>
    <s v="MA-010"/>
    <x v="8"/>
    <s v="Hyannis"/>
    <s v="MA"/>
    <x v="4"/>
    <x v="2"/>
    <s v="McChicken Combo"/>
    <n v="2"/>
    <n v="9.2799999999999994"/>
    <n v="18.559999999999999"/>
    <n v="0"/>
    <n v="18.559999999999999"/>
    <n v="7.96"/>
    <n v="10.6"/>
    <x v="0"/>
    <s v="Apple Pay"/>
    <x v="0"/>
    <s v="Light"/>
  </r>
  <r>
    <s v="ORD-00155"/>
    <x v="159"/>
    <s v="Q3"/>
    <s v="Thursday"/>
    <x v="2"/>
    <s v="(6pm-12am)"/>
    <s v="MA-009"/>
    <x v="5"/>
    <s v="Kingston"/>
    <s v="MA"/>
    <x v="3"/>
    <x v="4"/>
    <s v="Side Salad"/>
    <n v="1"/>
    <n v="3.34"/>
    <n v="3.34"/>
    <n v="0.33"/>
    <n v="3.01"/>
    <n v="1.18"/>
    <n v="1.83"/>
    <x v="0"/>
    <s v="Cash"/>
    <x v="1"/>
    <s v="Moderate"/>
  </r>
  <r>
    <s v="ORD-00264"/>
    <x v="159"/>
    <s v="Q3"/>
    <s v="Thursday"/>
    <x v="3"/>
    <s v="(12pm-6pm)"/>
    <s v="MA-010"/>
    <x v="8"/>
    <s v="Hyannis"/>
    <s v="MA"/>
    <x v="4"/>
    <x v="5"/>
    <s v="Filet-O-Fish"/>
    <n v="4"/>
    <n v="5.52"/>
    <n v="22.08"/>
    <n v="0"/>
    <n v="22.08"/>
    <n v="9.1300000000000008"/>
    <n v="12.95"/>
    <x v="2"/>
    <s v="Google Pay"/>
    <x v="0"/>
    <s v="Light"/>
  </r>
  <r>
    <s v="ORD-00233"/>
    <x v="160"/>
    <s v="Q3"/>
    <s v="Monday"/>
    <x v="1"/>
    <s v="(12am-6am)"/>
    <s v="MA-007"/>
    <x v="7"/>
    <s v="Burlington"/>
    <s v="MA"/>
    <x v="1"/>
    <x v="2"/>
    <s v="Big Mac Combo"/>
    <n v="3"/>
    <n v="10.4"/>
    <n v="31.2"/>
    <n v="4.68"/>
    <n v="26.52"/>
    <n v="12.13"/>
    <n v="14.39"/>
    <x v="1"/>
    <s v="Debit Card"/>
    <x v="1"/>
    <s v="Heavy"/>
  </r>
  <r>
    <s v="ORD-00318"/>
    <x v="160"/>
    <s v="Q3"/>
    <s v="Monday"/>
    <x v="1"/>
    <s v="(12am-6am)"/>
    <s v="MA-007"/>
    <x v="7"/>
    <s v="Burlington"/>
    <s v="MA"/>
    <x v="1"/>
    <x v="0"/>
    <s v="Orange Juice"/>
    <n v="4"/>
    <n v="2.71"/>
    <n v="10.84"/>
    <n v="0"/>
    <n v="10.84"/>
    <n v="5.6"/>
    <n v="5.24"/>
    <x v="4"/>
    <s v="Credit Card"/>
    <x v="0"/>
    <s v="Light"/>
  </r>
  <r>
    <s v="ORD-00272"/>
    <x v="161"/>
    <s v="Q3"/>
    <s v="Tuesday"/>
    <x v="2"/>
    <s v="(6pm-12am)"/>
    <s v="MA-001"/>
    <x v="6"/>
    <s v="Natick"/>
    <s v="MA"/>
    <x v="2"/>
    <x v="5"/>
    <s v="Big Mac"/>
    <n v="1"/>
    <n v="6.48"/>
    <n v="6.48"/>
    <n v="0"/>
    <n v="6.48"/>
    <n v="2.46"/>
    <n v="4.0199999999999996"/>
    <x v="4"/>
    <s v="Google Pay"/>
    <x v="1"/>
    <s v="Light"/>
  </r>
  <r>
    <s v="ORD-00172"/>
    <x v="161"/>
    <s v="Q3"/>
    <s v="Tuesday"/>
    <x v="2"/>
    <s v="(6pm-12am)"/>
    <s v="MA-007"/>
    <x v="7"/>
    <s v="Burlington"/>
    <s v="MA"/>
    <x v="1"/>
    <x v="2"/>
    <s v="Big Mac Combo"/>
    <n v="1"/>
    <n v="10.26"/>
    <n v="10.26"/>
    <n v="0"/>
    <n v="10.26"/>
    <n v="4.5599999999999996"/>
    <n v="5.7"/>
    <x v="2"/>
    <s v="Credit Card"/>
    <x v="1"/>
    <s v="Light"/>
  </r>
  <r>
    <s v="ORD-00271"/>
    <x v="162"/>
    <s v="Q3"/>
    <s v="Wednesday"/>
    <x v="2"/>
    <s v="(6pm-12am)"/>
    <s v="MA-006"/>
    <x v="9"/>
    <s v="Marlborough"/>
    <s v="MA"/>
    <x v="2"/>
    <x v="5"/>
    <s v="McChicken"/>
    <n v="4"/>
    <n v="3.22"/>
    <n v="12.88"/>
    <n v="0"/>
    <n v="12.88"/>
    <n v="6.5"/>
    <n v="6.38"/>
    <x v="0"/>
    <s v="EBT"/>
    <x v="2"/>
    <s v="Light"/>
  </r>
  <r>
    <s v="ORD-00139"/>
    <x v="163"/>
    <s v="Q3"/>
    <s v="Thursday"/>
    <x v="1"/>
    <s v="(12am-6am)"/>
    <s v="MA-003"/>
    <x v="3"/>
    <s v="Boston"/>
    <s v="MA"/>
    <x v="0"/>
    <x v="4"/>
    <s v="Medium Fries"/>
    <n v="4"/>
    <n v="2.74"/>
    <n v="10.96"/>
    <n v="0"/>
    <n v="10.96"/>
    <n v="4.5999999999999996"/>
    <n v="6.36"/>
    <x v="4"/>
    <s v="Apple Pay"/>
    <x v="0"/>
    <s v="Light"/>
  </r>
  <r>
    <s v="ORD-00195"/>
    <x v="163"/>
    <s v="Q3"/>
    <s v="Thursday"/>
    <x v="1"/>
    <s v="(12am-6am)"/>
    <s v="MA-007"/>
    <x v="7"/>
    <s v="Burlington"/>
    <s v="MA"/>
    <x v="1"/>
    <x v="4"/>
    <s v="Side Salad"/>
    <n v="1"/>
    <n v="3.28"/>
    <n v="3.28"/>
    <n v="0.33"/>
    <n v="2.95"/>
    <n v="1.46"/>
    <n v="1.49"/>
    <x v="2"/>
    <s v="Cash"/>
    <x v="1"/>
    <s v="Moderate"/>
  </r>
  <r>
    <s v="ORD-00148"/>
    <x v="164"/>
    <s v="Q3"/>
    <s v="Friday"/>
    <x v="0"/>
    <s v="(6am-12pm)"/>
    <s v="MA-007"/>
    <x v="7"/>
    <s v="Burlington"/>
    <s v="MA"/>
    <x v="1"/>
    <x v="2"/>
    <s v="Happy Meal"/>
    <n v="1"/>
    <n v="7.1"/>
    <n v="7.1"/>
    <n v="0"/>
    <n v="7.1"/>
    <n v="2.99"/>
    <n v="4.1100000000000003"/>
    <x v="4"/>
    <s v="EBT"/>
    <x v="0"/>
    <s v="Light"/>
  </r>
  <r>
    <s v="ORD-00061"/>
    <x v="165"/>
    <s v="Q3"/>
    <s v="Saturday"/>
    <x v="3"/>
    <s v="(12pm-6pm)"/>
    <s v="MA-004"/>
    <x v="0"/>
    <s v="Boston"/>
    <s v="MA"/>
    <x v="0"/>
    <x v="5"/>
    <s v="Quarter Pounder w/ Cheese"/>
    <n v="3"/>
    <n v="5.99"/>
    <n v="17.97"/>
    <n v="1.8"/>
    <n v="16.170000000000002"/>
    <n v="7.89"/>
    <n v="8.2799999999999994"/>
    <x v="1"/>
    <s v="EBT"/>
    <x v="0"/>
    <s v="Moderate"/>
  </r>
  <r>
    <s v="ORD-00124"/>
    <x v="166"/>
    <s v="Q3"/>
    <s v="Saturday"/>
    <x v="0"/>
    <s v="(6am-12pm)"/>
    <s v="MA-009"/>
    <x v="5"/>
    <s v="Kingston"/>
    <s v="MA"/>
    <x v="3"/>
    <x v="0"/>
    <s v="McCafe Frappe"/>
    <n v="1"/>
    <n v="4.6100000000000003"/>
    <n v="4.6100000000000003"/>
    <n v="0.23"/>
    <n v="4.38"/>
    <n v="1.66"/>
    <n v="2.72"/>
    <x v="4"/>
    <s v="Credit Card"/>
    <x v="2"/>
    <s v="Light"/>
  </r>
  <r>
    <s v="ORD-00015"/>
    <x v="167"/>
    <s v="Q3"/>
    <s v="Sunday"/>
    <x v="3"/>
    <s v="(12pm-6pm)"/>
    <s v="MA-003"/>
    <x v="3"/>
    <s v="Boston"/>
    <s v="MA"/>
    <x v="0"/>
    <x v="0"/>
    <s v="Bottled Water"/>
    <n v="2"/>
    <n v="1.49"/>
    <n v="2.98"/>
    <n v="0"/>
    <n v="2.98"/>
    <n v="1.56"/>
    <n v="1.42"/>
    <x v="2"/>
    <s v="Credit Card"/>
    <x v="1"/>
    <s v="Light"/>
  </r>
  <r>
    <s v="ORD-00338"/>
    <x v="168"/>
    <s v="Q3"/>
    <s v="Monday"/>
    <x v="3"/>
    <s v="(12pm-6pm)"/>
    <s v="MA-010"/>
    <x v="8"/>
    <s v="Hyannis"/>
    <s v="MA"/>
    <x v="4"/>
    <x v="5"/>
    <s v="Filet-O-Fish"/>
    <n v="5"/>
    <n v="5.75"/>
    <n v="28.75"/>
    <n v="1.44"/>
    <n v="27.31"/>
    <n v="9.67"/>
    <n v="17.64"/>
    <x v="1"/>
    <s v="Debit Card"/>
    <x v="0"/>
    <s v="Light"/>
  </r>
  <r>
    <s v="ORD-00038"/>
    <x v="169"/>
    <s v="Q4"/>
    <s v="Wednesday"/>
    <x v="0"/>
    <s v="(6am-12pm)"/>
    <s v="MA-004"/>
    <x v="0"/>
    <s v="Boston"/>
    <s v="MA"/>
    <x v="0"/>
    <x v="3"/>
    <s v="Apple Pie"/>
    <n v="1"/>
    <n v="1.5"/>
    <n v="1.5"/>
    <n v="0"/>
    <n v="1.5"/>
    <n v="0.62"/>
    <n v="0.88"/>
    <x v="4"/>
    <s v="EBT"/>
    <x v="0"/>
    <s v="Light"/>
  </r>
  <r>
    <s v="ORD-00053"/>
    <x v="170"/>
    <s v="Q4"/>
    <s v="Thursday"/>
    <x v="1"/>
    <s v="(12am-6am)"/>
    <s v="MA-001"/>
    <x v="6"/>
    <s v="Natick"/>
    <s v="MA"/>
    <x v="2"/>
    <x v="3"/>
    <s v="McFlurry M&amp;M"/>
    <n v="2"/>
    <n v="3.85"/>
    <n v="7.7"/>
    <n v="0.39"/>
    <n v="7.31"/>
    <n v="3.66"/>
    <n v="3.65"/>
    <x v="3"/>
    <s v="Credit Card"/>
    <x v="0"/>
    <s v="Light"/>
  </r>
  <r>
    <s v="ORD-00028"/>
    <x v="171"/>
    <s v="Q4"/>
    <s v="Saturday"/>
    <x v="1"/>
    <s v="(12am-6am)"/>
    <s v="MA-005"/>
    <x v="2"/>
    <s v="Watertown"/>
    <s v="MA"/>
    <x v="0"/>
    <x v="2"/>
    <s v="Big Mac Combo"/>
    <n v="2"/>
    <n v="10.52"/>
    <n v="21.04"/>
    <n v="3.16"/>
    <n v="17.88"/>
    <n v="6.63"/>
    <n v="11.25"/>
    <x v="3"/>
    <s v="Cash"/>
    <x v="1"/>
    <s v="Heavy"/>
  </r>
  <r>
    <s v="ORD-00289"/>
    <x v="171"/>
    <s v="Q4"/>
    <s v="Saturday"/>
    <x v="0"/>
    <s v="(6am-12pm)"/>
    <s v="MA-001"/>
    <x v="6"/>
    <s v="Natick"/>
    <s v="MA"/>
    <x v="2"/>
    <x v="4"/>
    <s v="McNuggets 6pc"/>
    <n v="2"/>
    <n v="4.57"/>
    <n v="9.14"/>
    <n v="0"/>
    <n v="9.14"/>
    <n v="4.2300000000000004"/>
    <n v="4.91"/>
    <x v="5"/>
    <s v="Apple Pay"/>
    <x v="2"/>
    <s v="Light"/>
  </r>
  <r>
    <s v="ORD-00142"/>
    <x v="172"/>
    <s v="Q4"/>
    <s v="Monday"/>
    <x v="2"/>
    <s v="(6pm-12am)"/>
    <s v="MA-010"/>
    <x v="8"/>
    <s v="Hyannis"/>
    <s v="MA"/>
    <x v="4"/>
    <x v="2"/>
    <s v="Happy Meal"/>
    <n v="1"/>
    <n v="6.9"/>
    <n v="6.9"/>
    <n v="0"/>
    <n v="6.9"/>
    <n v="2.48"/>
    <n v="4.42"/>
    <x v="2"/>
    <s v="EBT"/>
    <x v="0"/>
    <s v="Light"/>
  </r>
  <r>
    <s v="ORD-00305"/>
    <x v="173"/>
    <s v="Q4"/>
    <s v="Tuesday"/>
    <x v="0"/>
    <s v="(6am-12pm)"/>
    <s v="MA-008"/>
    <x v="1"/>
    <s v="Peabody"/>
    <s v="MA"/>
    <x v="1"/>
    <x v="0"/>
    <s v="Soft Drink M"/>
    <n v="1"/>
    <n v="1.98"/>
    <n v="1.98"/>
    <n v="0"/>
    <n v="1.98"/>
    <n v="0.96"/>
    <n v="1.02"/>
    <x v="0"/>
    <s v="Apple Pay"/>
    <x v="2"/>
    <s v="Light"/>
  </r>
  <r>
    <s v="ORD-00171"/>
    <x v="173"/>
    <s v="Q4"/>
    <s v="Tuesday"/>
    <x v="1"/>
    <s v="(12am-6am)"/>
    <s v="MA-005"/>
    <x v="2"/>
    <s v="Watertown"/>
    <s v="MA"/>
    <x v="0"/>
    <x v="2"/>
    <s v="Big Mac Combo"/>
    <n v="1"/>
    <n v="10.24"/>
    <n v="10.24"/>
    <n v="0"/>
    <n v="10.24"/>
    <n v="5.6"/>
    <n v="4.6399999999999997"/>
    <x v="0"/>
    <s v="Cash"/>
    <x v="2"/>
    <s v="Light"/>
  </r>
  <r>
    <s v="ORD-00021"/>
    <x v="173"/>
    <s v="Q4"/>
    <s v="Tuesday"/>
    <x v="3"/>
    <s v="(12pm-6pm)"/>
    <s v="MA-002"/>
    <x v="4"/>
    <s v="Framingham"/>
    <s v="MA"/>
    <x v="2"/>
    <x v="5"/>
    <s v="Double Quarter Pounder"/>
    <n v="5"/>
    <n v="8.15"/>
    <n v="40.75"/>
    <n v="8.15"/>
    <n v="32.6"/>
    <n v="17.45"/>
    <n v="15.15"/>
    <x v="3"/>
    <s v="Credit Card"/>
    <x v="0"/>
    <s v="Aggressive"/>
  </r>
  <r>
    <s v="ORD-00063"/>
    <x v="173"/>
    <s v="Q4"/>
    <s v="Tuesday"/>
    <x v="3"/>
    <s v="(12pm-6pm)"/>
    <s v="MA-006"/>
    <x v="9"/>
    <s v="Marlborough"/>
    <s v="MA"/>
    <x v="2"/>
    <x v="3"/>
    <s v="Apple Pie"/>
    <n v="1"/>
    <n v="1.47"/>
    <n v="1.47"/>
    <n v="0"/>
    <n v="1.47"/>
    <n v="0.56999999999999995"/>
    <n v="0.9"/>
    <x v="4"/>
    <s v="EBT"/>
    <x v="1"/>
    <s v="Light"/>
  </r>
  <r>
    <s v="ORD-00312"/>
    <x v="174"/>
    <s v="Q4"/>
    <s v="Wednesday"/>
    <x v="1"/>
    <s v="(12am-6am)"/>
    <s v="MA-006"/>
    <x v="9"/>
    <s v="Marlborough"/>
    <s v="MA"/>
    <x v="2"/>
    <x v="3"/>
    <s v="Soft Serve Cone"/>
    <n v="2"/>
    <n v="1.02"/>
    <n v="2.04"/>
    <n v="0.2"/>
    <n v="1.84"/>
    <n v="0.87"/>
    <n v="0.97"/>
    <x v="0"/>
    <s v="Apple Pay"/>
    <x v="0"/>
    <s v="Moderate"/>
  </r>
  <r>
    <s v="ORD-00029"/>
    <x v="175"/>
    <s v="Q4"/>
    <s v="Thursday"/>
    <x v="3"/>
    <s v="(12pm-6pm)"/>
    <s v="MA-003"/>
    <x v="3"/>
    <s v="Boston"/>
    <s v="MA"/>
    <x v="0"/>
    <x v="3"/>
    <s v="Hot Fudge Sundae"/>
    <n v="2"/>
    <n v="2.02"/>
    <n v="4.04"/>
    <n v="0"/>
    <n v="4.04"/>
    <n v="1.93"/>
    <n v="2.11"/>
    <x v="5"/>
    <s v="Google Pay"/>
    <x v="0"/>
    <s v="Light"/>
  </r>
  <r>
    <s v="ORD-00023"/>
    <x v="176"/>
    <s v="Q4"/>
    <s v="Friday"/>
    <x v="1"/>
    <s v="(12am-6am)"/>
    <s v="MA-008"/>
    <x v="1"/>
    <s v="Peabody"/>
    <s v="MA"/>
    <x v="1"/>
    <x v="0"/>
    <s v="Soft Drink L"/>
    <n v="1"/>
    <n v="2.56"/>
    <n v="2.56"/>
    <n v="0.13"/>
    <n v="2.4300000000000002"/>
    <n v="1.1100000000000001"/>
    <n v="1.32"/>
    <x v="1"/>
    <s v="Cash"/>
    <x v="3"/>
    <s v="Light"/>
  </r>
  <r>
    <s v="ORD-00131"/>
    <x v="177"/>
    <s v="Q4"/>
    <s v="Saturday"/>
    <x v="2"/>
    <s v="(6pm-12am)"/>
    <s v="MA-007"/>
    <x v="7"/>
    <s v="Burlington"/>
    <s v="MA"/>
    <x v="1"/>
    <x v="3"/>
    <s v="Hot Fudge Sundae"/>
    <n v="3"/>
    <n v="2.0099999999999998"/>
    <n v="6.03"/>
    <n v="0.9"/>
    <n v="5.13"/>
    <n v="2.69"/>
    <n v="2.44"/>
    <x v="5"/>
    <s v="Debit Card"/>
    <x v="1"/>
    <s v="Heavy"/>
  </r>
  <r>
    <s v="ORD-00027"/>
    <x v="178"/>
    <s v="Q4"/>
    <s v="Tuesday"/>
    <x v="0"/>
    <s v="(6am-12pm)"/>
    <s v="MA-002"/>
    <x v="4"/>
    <s v="Framingham"/>
    <s v="MA"/>
    <x v="2"/>
    <x v="5"/>
    <s v="Filet-O-Fish"/>
    <n v="1"/>
    <n v="5.61"/>
    <n v="5.61"/>
    <n v="0.84"/>
    <n v="4.7699999999999996"/>
    <n v="2.5099999999999998"/>
    <n v="2.2599999999999998"/>
    <x v="3"/>
    <s v="Cash"/>
    <x v="2"/>
    <s v="Heavy"/>
  </r>
  <r>
    <s v="ORD-00293"/>
    <x v="178"/>
    <s v="Q4"/>
    <s v="Tuesday"/>
    <x v="1"/>
    <s v="(12am-6am)"/>
    <s v="MA-003"/>
    <x v="3"/>
    <s v="Boston"/>
    <s v="MA"/>
    <x v="0"/>
    <x v="2"/>
    <s v="McChicken Combo"/>
    <n v="3"/>
    <n v="9.67"/>
    <n v="29.01"/>
    <n v="5.8"/>
    <n v="23.21"/>
    <n v="10.64"/>
    <n v="12.57"/>
    <x v="3"/>
    <s v="Apple Pay"/>
    <x v="2"/>
    <s v="Aggressive"/>
  </r>
  <r>
    <s v="ORD-00349"/>
    <x v="179"/>
    <s v="Q4"/>
    <s v="Wednesday"/>
    <x v="3"/>
    <s v="(12pm-6pm)"/>
    <s v="MA-004"/>
    <x v="0"/>
    <s v="Boston"/>
    <s v="MA"/>
    <x v="0"/>
    <x v="1"/>
    <s v="Cappuccino"/>
    <n v="2"/>
    <n v="4.04"/>
    <n v="8.08"/>
    <n v="0.4"/>
    <n v="7.68"/>
    <n v="3.35"/>
    <n v="4.33"/>
    <x v="1"/>
    <s v="Credit Card"/>
    <x v="0"/>
    <s v="Light"/>
  </r>
  <r>
    <s v="ORD-00299"/>
    <x v="179"/>
    <s v="Q4"/>
    <s v="Wednesday"/>
    <x v="2"/>
    <s v="(6pm-12am)"/>
    <s v="MA-002"/>
    <x v="4"/>
    <s v="Framingham"/>
    <s v="MA"/>
    <x v="2"/>
    <x v="4"/>
    <s v="Large Fries"/>
    <n v="1"/>
    <n v="3.4"/>
    <n v="3.4"/>
    <n v="0"/>
    <n v="3.4"/>
    <n v="1.41"/>
    <n v="1.99"/>
    <x v="1"/>
    <s v="Debit Card"/>
    <x v="1"/>
    <s v="Light"/>
  </r>
  <r>
    <s v="ORD-00126"/>
    <x v="179"/>
    <s v="Q4"/>
    <s v="Wednesday"/>
    <x v="1"/>
    <s v="(12am-6am)"/>
    <s v="MA-010"/>
    <x v="8"/>
    <s v="Hyannis"/>
    <s v="MA"/>
    <x v="4"/>
    <x v="3"/>
    <s v="Hot Fudge Sundae"/>
    <n v="1"/>
    <n v="1.94"/>
    <n v="1.94"/>
    <n v="0"/>
    <n v="1.94"/>
    <n v="0.8"/>
    <n v="1.1399999999999999"/>
    <x v="5"/>
    <s v="Google Pay"/>
    <x v="0"/>
    <s v="Light"/>
  </r>
  <r>
    <s v="ORD-00255"/>
    <x v="179"/>
    <s v="Q4"/>
    <s v="Wednesday"/>
    <x v="3"/>
    <s v="(12pm-6pm)"/>
    <s v="MA-008"/>
    <x v="1"/>
    <s v="Peabody"/>
    <s v="MA"/>
    <x v="1"/>
    <x v="3"/>
    <s v="McFlurry Oreo"/>
    <n v="1"/>
    <n v="3.82"/>
    <n v="3.82"/>
    <n v="0.38"/>
    <n v="3.44"/>
    <n v="1.22"/>
    <n v="2.2200000000000002"/>
    <x v="3"/>
    <s v="Apple Pay"/>
    <x v="4"/>
    <s v="Moderate"/>
  </r>
  <r>
    <s v="ORD-00117"/>
    <x v="180"/>
    <s v="Q4"/>
    <s v="Thursday"/>
    <x v="3"/>
    <s v="(12pm-6pm)"/>
    <s v="MA-010"/>
    <x v="8"/>
    <s v="Hyannis"/>
    <s v="MA"/>
    <x v="4"/>
    <x v="5"/>
    <s v="Big Mac"/>
    <n v="1"/>
    <n v="6.59"/>
    <n v="6.59"/>
    <n v="0"/>
    <n v="6.59"/>
    <n v="2.41"/>
    <n v="4.18"/>
    <x v="2"/>
    <s v="EBT"/>
    <x v="0"/>
    <s v="Light"/>
  </r>
  <r>
    <s v="ORD-00188"/>
    <x v="180"/>
    <s v="Q4"/>
    <s v="Thursday"/>
    <x v="2"/>
    <s v="(6pm-12am)"/>
    <s v="MA-004"/>
    <x v="0"/>
    <s v="Boston"/>
    <s v="MA"/>
    <x v="0"/>
    <x v="0"/>
    <s v="Orange Juice"/>
    <n v="4"/>
    <n v="2.86"/>
    <n v="11.44"/>
    <n v="1.1399999999999999"/>
    <n v="10.3"/>
    <n v="4.67"/>
    <n v="5.63"/>
    <x v="4"/>
    <s v="Apple Pay"/>
    <x v="2"/>
    <s v="Moderate"/>
  </r>
  <r>
    <s v="ORD-00025"/>
    <x v="181"/>
    <s v="Q4"/>
    <s v="Friday"/>
    <x v="2"/>
    <s v="(6pm-12am)"/>
    <s v="MA-004"/>
    <x v="0"/>
    <s v="Boston"/>
    <s v="MA"/>
    <x v="0"/>
    <x v="2"/>
    <s v="Big Mac Combo"/>
    <n v="2"/>
    <n v="10.44"/>
    <n v="20.88"/>
    <n v="1.04"/>
    <n v="19.84"/>
    <n v="9.02"/>
    <n v="10.82"/>
    <x v="5"/>
    <s v="Credit Card"/>
    <x v="1"/>
    <s v="Light"/>
  </r>
  <r>
    <s v="ORD-00137"/>
    <x v="182"/>
    <s v="Q4"/>
    <s v="Saturday"/>
    <x v="1"/>
    <s v="(12am-6am)"/>
    <s v="MA-008"/>
    <x v="1"/>
    <s v="Peabody"/>
    <s v="MA"/>
    <x v="1"/>
    <x v="4"/>
    <s v="McNuggets 6pc"/>
    <n v="3"/>
    <n v="4.49"/>
    <n v="13.47"/>
    <n v="0"/>
    <n v="13.47"/>
    <n v="5.15"/>
    <n v="8.32"/>
    <x v="3"/>
    <s v="Google Pay"/>
    <x v="1"/>
    <s v="Light"/>
  </r>
  <r>
    <s v="ORD-00164"/>
    <x v="182"/>
    <s v="Q4"/>
    <s v="Saturday"/>
    <x v="2"/>
    <s v="(6pm-12am)"/>
    <s v="MA-007"/>
    <x v="7"/>
    <s v="Burlington"/>
    <s v="MA"/>
    <x v="1"/>
    <x v="2"/>
    <s v="Big Mac Combo"/>
    <n v="2"/>
    <n v="10.57"/>
    <n v="21.14"/>
    <n v="0"/>
    <n v="21.14"/>
    <n v="11.44"/>
    <n v="9.6999999999999993"/>
    <x v="2"/>
    <s v="Credit Card"/>
    <x v="0"/>
    <s v="Light"/>
  </r>
  <r>
    <s v="ORD-00049"/>
    <x v="183"/>
    <s v="Q4"/>
    <s v="Monday"/>
    <x v="2"/>
    <s v="(6pm-12am)"/>
    <s v="MA-007"/>
    <x v="7"/>
    <s v="Burlington"/>
    <s v="MA"/>
    <x v="1"/>
    <x v="4"/>
    <s v="Medium Fries"/>
    <n v="4"/>
    <n v="2.76"/>
    <n v="11.04"/>
    <n v="0"/>
    <n v="11.04"/>
    <n v="5.83"/>
    <n v="5.21"/>
    <x v="2"/>
    <s v="Google Pay"/>
    <x v="1"/>
    <s v="Light"/>
  </r>
  <r>
    <s v="ORD-00252"/>
    <x v="184"/>
    <s v="Q4"/>
    <s v="Tuesday"/>
    <x v="2"/>
    <s v="(6pm-12am)"/>
    <s v="MA-005"/>
    <x v="2"/>
    <s v="Watertown"/>
    <s v="MA"/>
    <x v="0"/>
    <x v="1"/>
    <s v="Blueberry Muffin"/>
    <n v="1"/>
    <n v="2.4300000000000002"/>
    <n v="2.4300000000000002"/>
    <n v="0.24"/>
    <n v="2.19"/>
    <n v="1.1000000000000001"/>
    <n v="1.0900000000000001"/>
    <x v="2"/>
    <s v="Google Pay"/>
    <x v="0"/>
    <s v="Moderate"/>
  </r>
  <r>
    <s v="ORD-00196"/>
    <x v="185"/>
    <s v="Q4"/>
    <s v="Wednesday"/>
    <x v="1"/>
    <s v="(12am-6am)"/>
    <s v="MA-002"/>
    <x v="4"/>
    <s v="Framingham"/>
    <s v="MA"/>
    <x v="2"/>
    <x v="5"/>
    <s v="McChicken"/>
    <n v="1"/>
    <n v="3.2"/>
    <n v="3.2"/>
    <n v="0.64"/>
    <n v="2.56"/>
    <n v="1.37"/>
    <n v="1.19"/>
    <x v="4"/>
    <s v="Apple Pay"/>
    <x v="0"/>
    <s v="Aggressive"/>
  </r>
  <r>
    <s v="ORD-00112"/>
    <x v="186"/>
    <s v="Q4"/>
    <s v="Sunday"/>
    <x v="1"/>
    <s v="(12am-6am)"/>
    <s v="MA-009"/>
    <x v="5"/>
    <s v="Kingston"/>
    <s v="MA"/>
    <x v="3"/>
    <x v="2"/>
    <s v="Quarter Pounder Combo"/>
    <n v="2"/>
    <n v="10.93"/>
    <n v="21.86"/>
    <n v="3.28"/>
    <n v="18.579999999999998"/>
    <n v="10"/>
    <n v="8.58"/>
    <x v="2"/>
    <s v="EBT"/>
    <x v="1"/>
    <s v="Heavy"/>
  </r>
  <r>
    <s v="ORD-00249"/>
    <x v="187"/>
    <s v="Q4"/>
    <s v="Monday"/>
    <x v="2"/>
    <s v="(6pm-12am)"/>
    <s v="MA-006"/>
    <x v="9"/>
    <s v="Marlborough"/>
    <s v="MA"/>
    <x v="2"/>
    <x v="1"/>
    <s v="Croissant"/>
    <n v="2"/>
    <n v="2.93"/>
    <n v="5.86"/>
    <n v="0"/>
    <n v="5.86"/>
    <n v="2.29"/>
    <n v="3.57"/>
    <x v="3"/>
    <s v="Debit Card"/>
    <x v="0"/>
    <s v="Light"/>
  </r>
  <r>
    <s v="ORD-00123"/>
    <x v="187"/>
    <s v="Q4"/>
    <s v="Monday"/>
    <x v="3"/>
    <s v="(12pm-6pm)"/>
    <s v="MA-007"/>
    <x v="7"/>
    <s v="Burlington"/>
    <s v="MA"/>
    <x v="1"/>
    <x v="2"/>
    <s v="Big Mac Combo"/>
    <n v="1"/>
    <n v="10.37"/>
    <n v="10.37"/>
    <n v="0"/>
    <n v="10.37"/>
    <n v="4.32"/>
    <n v="6.05"/>
    <x v="3"/>
    <s v="Debit Card"/>
    <x v="1"/>
    <s v="Light"/>
  </r>
  <r>
    <s v="ORD-00056"/>
    <x v="188"/>
    <s v="Q4"/>
    <s v="Wednesday"/>
    <x v="0"/>
    <s v="(6am-12pm)"/>
    <s v="MA-004"/>
    <x v="0"/>
    <s v="Boston"/>
    <s v="MA"/>
    <x v="0"/>
    <x v="5"/>
    <s v="Double Quarter Pounder"/>
    <n v="3"/>
    <n v="8.16"/>
    <n v="24.48"/>
    <n v="1.22"/>
    <n v="23.26"/>
    <n v="8.6999999999999993"/>
    <n v="14.56"/>
    <x v="0"/>
    <s v="Debit Card"/>
    <x v="0"/>
    <s v="Light"/>
  </r>
  <r>
    <s v="ORD-00059"/>
    <x v="188"/>
    <s v="Q4"/>
    <s v="Wednesday"/>
    <x v="2"/>
    <s v="(6pm-12am)"/>
    <s v="MA-005"/>
    <x v="2"/>
    <s v="Watertown"/>
    <s v="MA"/>
    <x v="0"/>
    <x v="3"/>
    <s v="McFlurry M&amp;M"/>
    <n v="3"/>
    <n v="3.7"/>
    <n v="11.1"/>
    <n v="1.66"/>
    <n v="9.44"/>
    <n v="3.76"/>
    <n v="5.68"/>
    <x v="2"/>
    <s v="Google Pay"/>
    <x v="1"/>
    <s v="Heavy"/>
  </r>
  <r>
    <s v="ORD-00109"/>
    <x v="189"/>
    <s v="Q4"/>
    <s v="Friday"/>
    <x v="3"/>
    <s v="(12pm-6pm)"/>
    <s v="MA-009"/>
    <x v="5"/>
    <s v="Kingston"/>
    <s v="MA"/>
    <x v="3"/>
    <x v="3"/>
    <s v="Apple Pie"/>
    <n v="2"/>
    <n v="1.48"/>
    <n v="2.96"/>
    <n v="0.3"/>
    <n v="2.66"/>
    <n v="0.99"/>
    <n v="1.67"/>
    <x v="1"/>
    <s v="EBT"/>
    <x v="1"/>
    <s v="Moderate"/>
  </r>
  <r>
    <s v="ORD-00103"/>
    <x v="189"/>
    <s v="Q4"/>
    <s v="Friday"/>
    <x v="2"/>
    <s v="(6pm-12am)"/>
    <s v="MA-001"/>
    <x v="6"/>
    <s v="Natick"/>
    <s v="MA"/>
    <x v="2"/>
    <x v="5"/>
    <s v="McDouble"/>
    <n v="1"/>
    <n v="3.41"/>
    <n v="3.41"/>
    <n v="0.17"/>
    <n v="3.24"/>
    <n v="1.18"/>
    <n v="2.06"/>
    <x v="0"/>
    <s v="Credit Card"/>
    <x v="2"/>
    <s v="Light"/>
  </r>
  <r>
    <s v="ORD-00201"/>
    <x v="190"/>
    <s v="Q4"/>
    <s v="Saturday"/>
    <x v="3"/>
    <s v="(12pm-6pm)"/>
    <s v="MA-001"/>
    <x v="6"/>
    <s v="Natick"/>
    <s v="MA"/>
    <x v="2"/>
    <x v="0"/>
    <s v="Bottled Water"/>
    <n v="1"/>
    <n v="1.48"/>
    <n v="1.48"/>
    <n v="7.0000000000000007E-2"/>
    <n v="1.41"/>
    <n v="0.71"/>
    <n v="0.7"/>
    <x v="4"/>
    <s v="Credit Card"/>
    <x v="1"/>
    <s v="Light"/>
  </r>
  <r>
    <s v="ORD-00113"/>
    <x v="191"/>
    <s v="Q4"/>
    <s v="Sunday"/>
    <x v="3"/>
    <s v="(12pm-6pm)"/>
    <s v="MA-005"/>
    <x v="2"/>
    <s v="Watertown"/>
    <s v="MA"/>
    <x v="0"/>
    <x v="3"/>
    <s v="McFlurry Oreo"/>
    <n v="2"/>
    <n v="3.72"/>
    <n v="7.44"/>
    <n v="0.37"/>
    <n v="7.07"/>
    <n v="2.79"/>
    <n v="4.28"/>
    <x v="4"/>
    <s v="Cash"/>
    <x v="0"/>
    <s v="Light"/>
  </r>
  <r>
    <s v="ORD-00050"/>
    <x v="192"/>
    <s v="Q4"/>
    <s v="Monday"/>
    <x v="1"/>
    <s v="(12am-6am)"/>
    <s v="MA-004"/>
    <x v="0"/>
    <s v="Boston"/>
    <s v="MA"/>
    <x v="0"/>
    <x v="4"/>
    <s v="Large Fries"/>
    <n v="1"/>
    <n v="3.49"/>
    <n v="3.49"/>
    <n v="0"/>
    <n v="3.49"/>
    <n v="1.69"/>
    <n v="1.8"/>
    <x v="2"/>
    <s v="EBT"/>
    <x v="1"/>
    <s v="Light"/>
  </r>
  <r>
    <s v="ORD-00125"/>
    <x v="192"/>
    <s v="Q4"/>
    <s v="Monday"/>
    <x v="2"/>
    <s v="(6pm-12am)"/>
    <s v="MA-003"/>
    <x v="3"/>
    <s v="Boston"/>
    <s v="MA"/>
    <x v="0"/>
    <x v="1"/>
    <s v="Espresso"/>
    <n v="1"/>
    <n v="2.02"/>
    <n v="2.02"/>
    <n v="0"/>
    <n v="2.02"/>
    <n v="1.01"/>
    <n v="1.01"/>
    <x v="0"/>
    <s v="Apple Pay"/>
    <x v="1"/>
    <s v="Light"/>
  </r>
  <r>
    <s v="ORD-00192"/>
    <x v="193"/>
    <s v="Q4"/>
    <s v="Wednesday"/>
    <x v="2"/>
    <s v="(6pm-12am)"/>
    <s v="MA-006"/>
    <x v="9"/>
    <s v="Marlborough"/>
    <s v="MA"/>
    <x v="2"/>
    <x v="4"/>
    <s v="Side Salad"/>
    <n v="4"/>
    <n v="3.34"/>
    <n v="13.36"/>
    <n v="1.34"/>
    <n v="12.02"/>
    <n v="6.19"/>
    <n v="5.83"/>
    <x v="3"/>
    <s v="EBT"/>
    <x v="1"/>
    <s v="Moderate"/>
  </r>
  <r>
    <s v="ORD-00341"/>
    <x v="194"/>
    <s v="Q4"/>
    <s v="Thursday"/>
    <x v="0"/>
    <s v="(6am-12pm)"/>
    <s v="MA-004"/>
    <x v="0"/>
    <s v="Boston"/>
    <s v="MA"/>
    <x v="0"/>
    <x v="3"/>
    <s v="Soft Serve Cone"/>
    <n v="5"/>
    <n v="0.99"/>
    <n v="4.95"/>
    <n v="0"/>
    <n v="4.95"/>
    <n v="1.89"/>
    <n v="3.06"/>
    <x v="0"/>
    <s v="Apple Pay"/>
    <x v="1"/>
    <s v="Light"/>
  </r>
  <r>
    <s v="ORD-00040"/>
    <x v="195"/>
    <s v="Q4"/>
    <s v="Monday"/>
    <x v="2"/>
    <s v="(6pm-12am)"/>
    <s v="MA-010"/>
    <x v="8"/>
    <s v="Hyannis"/>
    <s v="MA"/>
    <x v="4"/>
    <x v="3"/>
    <s v="Apple Pie"/>
    <n v="2"/>
    <n v="1.45"/>
    <n v="2.9"/>
    <n v="0"/>
    <n v="2.9"/>
    <n v="1.26"/>
    <n v="1.64"/>
    <x v="0"/>
    <s v="Google Pay"/>
    <x v="0"/>
    <s v="Light"/>
  </r>
  <r>
    <s v="ORD-00214"/>
    <x v="196"/>
    <s v="Q4"/>
    <s v="Tuesday"/>
    <x v="3"/>
    <s v="(12pm-6pm)"/>
    <s v="MA-010"/>
    <x v="8"/>
    <s v="Hyannis"/>
    <s v="MA"/>
    <x v="4"/>
    <x v="4"/>
    <s v="McNuggets 10pc"/>
    <n v="1"/>
    <n v="6.5"/>
    <n v="6.5"/>
    <n v="0"/>
    <n v="6.5"/>
    <n v="2.2999999999999998"/>
    <n v="4.2"/>
    <x v="1"/>
    <s v="Cash"/>
    <x v="1"/>
    <s v="Light"/>
  </r>
  <r>
    <s v="ORD-00135"/>
    <x v="196"/>
    <s v="Q4"/>
    <s v="Tuesday"/>
    <x v="3"/>
    <s v="(12pm-6pm)"/>
    <s v="MA-003"/>
    <x v="3"/>
    <s v="Boston"/>
    <s v="MA"/>
    <x v="0"/>
    <x v="2"/>
    <s v="Happy Meal"/>
    <n v="1"/>
    <n v="6.86"/>
    <n v="6.86"/>
    <n v="0.34"/>
    <n v="6.52"/>
    <n v="3.1"/>
    <n v="3.42"/>
    <x v="3"/>
    <s v="EBT"/>
    <x v="3"/>
    <s v="Light"/>
  </r>
  <r>
    <s v="ORD-00163"/>
    <x v="197"/>
    <s v="Q4"/>
    <s v="Friday"/>
    <x v="2"/>
    <s v="(6pm-12am)"/>
    <s v="MA-010"/>
    <x v="8"/>
    <s v="Hyannis"/>
    <s v="MA"/>
    <x v="4"/>
    <x v="3"/>
    <s v="Soft Serve Cone"/>
    <n v="1"/>
    <n v="1.02"/>
    <n v="1.02"/>
    <n v="0"/>
    <n v="1.02"/>
    <n v="0.55000000000000004"/>
    <n v="0.47"/>
    <x v="0"/>
    <s v="Cash"/>
    <x v="2"/>
    <s v="Light"/>
  </r>
  <r>
    <s v="ORD-00094"/>
    <x v="198"/>
    <s v="Q4"/>
    <s v="Sunday"/>
    <x v="3"/>
    <s v="(12pm-6pm)"/>
    <s v="MA-001"/>
    <x v="6"/>
    <s v="Natick"/>
    <s v="MA"/>
    <x v="2"/>
    <x v="3"/>
    <s v="Apple Pie"/>
    <n v="1"/>
    <n v="1.48"/>
    <n v="1.48"/>
    <n v="0"/>
    <n v="1.48"/>
    <n v="0.79"/>
    <n v="0.69"/>
    <x v="5"/>
    <s v="EBT"/>
    <x v="2"/>
    <s v="Light"/>
  </r>
  <r>
    <s v="ORD-00175"/>
    <x v="199"/>
    <s v="Q4"/>
    <s v="Monday"/>
    <x v="1"/>
    <s v="(12am-6am)"/>
    <s v="MA-001"/>
    <x v="6"/>
    <s v="Natick"/>
    <s v="MA"/>
    <x v="2"/>
    <x v="2"/>
    <s v="Happy Meal"/>
    <n v="1"/>
    <n v="7.06"/>
    <n v="7.06"/>
    <n v="1.41"/>
    <n v="5.65"/>
    <n v="2.63"/>
    <n v="3.02"/>
    <x v="3"/>
    <s v="EBT"/>
    <x v="0"/>
    <s v="Aggressive"/>
  </r>
  <r>
    <s v="ORD-00042"/>
    <x v="200"/>
    <s v="Q4"/>
    <s v="Wednesday"/>
    <x v="1"/>
    <s v="(12am-6am)"/>
    <s v="MA-010"/>
    <x v="8"/>
    <s v="Hyannis"/>
    <s v="MA"/>
    <x v="4"/>
    <x v="3"/>
    <s v="McFlurry Oreo"/>
    <n v="3"/>
    <n v="3.85"/>
    <n v="11.55"/>
    <n v="0.57999999999999996"/>
    <n v="10.97"/>
    <n v="4.33"/>
    <n v="6.64"/>
    <x v="3"/>
    <s v="Credit Card"/>
    <x v="3"/>
    <s v="Light"/>
  </r>
  <r>
    <s v="ORD-00230"/>
    <x v="200"/>
    <s v="Q4"/>
    <s v="Wednesday"/>
    <x v="2"/>
    <s v="(6pm-12am)"/>
    <s v="MA-008"/>
    <x v="1"/>
    <s v="Peabody"/>
    <s v="MA"/>
    <x v="1"/>
    <x v="2"/>
    <s v="McChicken Combo"/>
    <n v="1"/>
    <n v="9.36"/>
    <n v="9.36"/>
    <n v="0.94"/>
    <n v="8.42"/>
    <n v="3.56"/>
    <n v="4.8600000000000003"/>
    <x v="0"/>
    <s v="Credit Card"/>
    <x v="1"/>
    <s v="Moderate"/>
  </r>
  <r>
    <s v="ORD-00162"/>
    <x v="201"/>
    <s v="Q4"/>
    <s v="Thursday"/>
    <x v="1"/>
    <s v="(12am-6am)"/>
    <s v="MA-009"/>
    <x v="5"/>
    <s v="Kingston"/>
    <s v="MA"/>
    <x v="3"/>
    <x v="3"/>
    <s v="McFlurry M&amp;M"/>
    <n v="2"/>
    <n v="3.82"/>
    <n v="7.64"/>
    <n v="0"/>
    <n v="7.64"/>
    <n v="3.65"/>
    <n v="3.99"/>
    <x v="0"/>
    <s v="Google Pay"/>
    <x v="2"/>
    <s v="Light"/>
  </r>
  <r>
    <s v="ORD-00006"/>
    <x v="201"/>
    <s v="Q4"/>
    <s v="Thursday"/>
    <x v="2"/>
    <s v="(6pm-12am)"/>
    <s v="MA-006"/>
    <x v="9"/>
    <s v="Marlborough"/>
    <s v="MA"/>
    <x v="2"/>
    <x v="0"/>
    <s v="McCafe Frappe"/>
    <n v="1"/>
    <n v="4.54"/>
    <n v="4.54"/>
    <n v="0.45"/>
    <n v="4.09"/>
    <n v="1.99"/>
    <n v="2.1"/>
    <x v="4"/>
    <s v="Google Pay"/>
    <x v="2"/>
    <s v="Moderate"/>
  </r>
  <r>
    <s v="ORD-00001"/>
    <x v="202"/>
    <s v="Q4"/>
    <s v="Saturday"/>
    <x v="2"/>
    <s v="(6pm-12am)"/>
    <s v="MA-002"/>
    <x v="4"/>
    <s v="Framingham"/>
    <s v="MA"/>
    <x v="2"/>
    <x v="5"/>
    <s v="Double Quarter Pounder"/>
    <n v="1"/>
    <n v="7.86"/>
    <n v="7.86"/>
    <n v="0.79"/>
    <n v="7.07"/>
    <n v="3.43"/>
    <n v="3.64"/>
    <x v="0"/>
    <s v="Debit Card"/>
    <x v="0"/>
    <s v="Moderate"/>
  </r>
  <r>
    <s v="ORD-00307"/>
    <x v="203"/>
    <s v="Q4"/>
    <s v="Sunday"/>
    <x v="0"/>
    <s v="(6am-12pm)"/>
    <s v="MA-009"/>
    <x v="5"/>
    <s v="Kingston"/>
    <s v="MA"/>
    <x v="3"/>
    <x v="4"/>
    <s v="Large Fries"/>
    <n v="1"/>
    <n v="3.47"/>
    <n v="3.47"/>
    <n v="0"/>
    <n v="3.47"/>
    <n v="1.25"/>
    <n v="2.2200000000000002"/>
    <x v="2"/>
    <s v="Apple Pay"/>
    <x v="2"/>
    <s v="Light"/>
  </r>
  <r>
    <s v="ORD-00012"/>
    <x v="203"/>
    <s v="Q4"/>
    <s v="Sunday"/>
    <x v="1"/>
    <s v="(12am-6am)"/>
    <s v="MA-006"/>
    <x v="9"/>
    <s v="Marlborough"/>
    <s v="MA"/>
    <x v="2"/>
    <x v="5"/>
    <s v="McDouble"/>
    <n v="2"/>
    <n v="3.48"/>
    <n v="6.96"/>
    <n v="1.39"/>
    <n v="5.57"/>
    <n v="2.93"/>
    <n v="2.64"/>
    <x v="5"/>
    <s v="Google Pay"/>
    <x v="0"/>
    <s v="Aggressive"/>
  </r>
  <r>
    <s v="ORD-00009"/>
    <x v="204"/>
    <s v="Q4"/>
    <s v="Monday"/>
    <x v="3"/>
    <s v="(12pm-6pm)"/>
    <s v="MA-008"/>
    <x v="1"/>
    <s v="Peabody"/>
    <s v="MA"/>
    <x v="1"/>
    <x v="0"/>
    <s v="McCafe Frappe"/>
    <n v="1"/>
    <n v="4.5599999999999996"/>
    <n v="4.5599999999999996"/>
    <n v="0.23"/>
    <n v="4.33"/>
    <n v="2.16"/>
    <n v="2.17"/>
    <x v="2"/>
    <s v="Google Pay"/>
    <x v="0"/>
    <s v="Light"/>
  </r>
  <r>
    <s v="ORD-00102"/>
    <x v="205"/>
    <s v="Q4"/>
    <s v="Tuesday"/>
    <x v="0"/>
    <s v="(6am-12pm)"/>
    <s v="MA-006"/>
    <x v="9"/>
    <s v="Marlborough"/>
    <s v="MA"/>
    <x v="2"/>
    <x v="5"/>
    <s v="McChicken"/>
    <n v="1"/>
    <n v="3.38"/>
    <n v="3.38"/>
    <n v="0.51"/>
    <n v="2.87"/>
    <n v="1.48"/>
    <n v="1.39"/>
    <x v="4"/>
    <s v="EBT"/>
    <x v="1"/>
    <s v="Heavy"/>
  </r>
  <r>
    <s v="ORD-00218"/>
    <x v="205"/>
    <s v="Q4"/>
    <s v="Tuesday"/>
    <x v="3"/>
    <s v="(12pm-6pm)"/>
    <s v="MA-006"/>
    <x v="9"/>
    <s v="Marlborough"/>
    <s v="MA"/>
    <x v="2"/>
    <x v="2"/>
    <s v="Big Mac Combo"/>
    <n v="4"/>
    <n v="10.75"/>
    <n v="43"/>
    <n v="0"/>
    <n v="43"/>
    <n v="22.8"/>
    <n v="20.2"/>
    <x v="1"/>
    <s v="Google Pay"/>
    <x v="0"/>
    <s v="Light"/>
  </r>
  <r>
    <s v="ORD-00244"/>
    <x v="205"/>
    <s v="Q4"/>
    <s v="Tuesday"/>
    <x v="1"/>
    <s v="(12am-6am)"/>
    <s v="MA-003"/>
    <x v="3"/>
    <s v="Boston"/>
    <s v="MA"/>
    <x v="0"/>
    <x v="2"/>
    <s v="McChicken Combo"/>
    <n v="2"/>
    <n v="9.2899999999999991"/>
    <n v="18.579999999999998"/>
    <n v="0"/>
    <n v="18.579999999999998"/>
    <n v="8.18"/>
    <n v="10.4"/>
    <x v="4"/>
    <s v="Cash"/>
    <x v="0"/>
    <s v="Light"/>
  </r>
  <r>
    <s v="ORD-00084"/>
    <x v="206"/>
    <s v="Q4"/>
    <s v="Friday"/>
    <x v="3"/>
    <s v="(12pm-6pm)"/>
    <s v="MA-003"/>
    <x v="3"/>
    <s v="Boston"/>
    <s v="MA"/>
    <x v="0"/>
    <x v="4"/>
    <s v="Medium Fries"/>
    <n v="1"/>
    <n v="2.87"/>
    <n v="2.87"/>
    <n v="0"/>
    <n v="2.87"/>
    <n v="1.06"/>
    <n v="1.81"/>
    <x v="2"/>
    <s v="Debit Card"/>
    <x v="1"/>
    <s v="Light"/>
  </r>
  <r>
    <s v="ORD-00248"/>
    <x v="207"/>
    <s v="Q4"/>
    <s v="Saturday"/>
    <x v="0"/>
    <s v="(6am-12pm)"/>
    <s v="MA-004"/>
    <x v="0"/>
    <s v="Boston"/>
    <s v="MA"/>
    <x v="0"/>
    <x v="3"/>
    <s v="McFlurry Oreo"/>
    <n v="2"/>
    <n v="3.76"/>
    <n v="7.52"/>
    <n v="0.75"/>
    <n v="6.77"/>
    <n v="2.96"/>
    <n v="3.81"/>
    <x v="4"/>
    <s v="Credit Card"/>
    <x v="1"/>
    <s v="Moderate"/>
  </r>
  <r>
    <s v="ORD-00314"/>
    <x v="208"/>
    <s v="Q4"/>
    <s v="Sunday"/>
    <x v="1"/>
    <s v="(12am-6am)"/>
    <s v="MA-008"/>
    <x v="1"/>
    <s v="Peabody"/>
    <s v="MA"/>
    <x v="1"/>
    <x v="2"/>
    <s v="Happy Meal"/>
    <n v="1"/>
    <n v="6.9"/>
    <n v="6.9"/>
    <n v="0"/>
    <n v="6.9"/>
    <n v="3.25"/>
    <n v="3.65"/>
    <x v="1"/>
    <s v="Apple Pay"/>
    <x v="0"/>
    <s v="Light"/>
  </r>
  <r>
    <s v="ORD-00328"/>
    <x v="209"/>
    <s v="Q4"/>
    <s v="Monday"/>
    <x v="0"/>
    <s v="(6am-12pm)"/>
    <s v="MA-009"/>
    <x v="5"/>
    <s v="Kingston"/>
    <s v="MA"/>
    <x v="3"/>
    <x v="0"/>
    <s v="McCafe Frappe"/>
    <n v="1"/>
    <n v="4.3899999999999997"/>
    <n v="4.3899999999999997"/>
    <n v="0"/>
    <n v="4.3899999999999997"/>
    <n v="2.25"/>
    <n v="2.14"/>
    <x v="3"/>
    <s v="EBT"/>
    <x v="1"/>
    <s v="Light"/>
  </r>
  <r>
    <s v="ORD-00234"/>
    <x v="209"/>
    <s v="Q4"/>
    <s v="Monday"/>
    <x v="1"/>
    <s v="(12am-6am)"/>
    <s v="MA-006"/>
    <x v="9"/>
    <s v="Marlborough"/>
    <s v="MA"/>
    <x v="2"/>
    <x v="0"/>
    <s v="Bottled Water"/>
    <n v="2"/>
    <n v="1.5"/>
    <n v="3"/>
    <n v="0.15"/>
    <n v="2.85"/>
    <n v="1.37"/>
    <n v="1.48"/>
    <x v="5"/>
    <s v="Apple Pay"/>
    <x v="4"/>
    <s v="Light"/>
  </r>
  <r>
    <s v="ORD-00277"/>
    <x v="209"/>
    <s v="Q4"/>
    <s v="Monday"/>
    <x v="2"/>
    <s v="(6pm-12am)"/>
    <s v="MA-007"/>
    <x v="7"/>
    <s v="Burlington"/>
    <s v="MA"/>
    <x v="1"/>
    <x v="1"/>
    <s v="Cappuccino"/>
    <n v="1"/>
    <n v="4"/>
    <n v="4"/>
    <n v="0"/>
    <n v="4"/>
    <n v="1.79"/>
    <n v="2.21"/>
    <x v="4"/>
    <s v="Credit Card"/>
    <x v="0"/>
    <s v="Light"/>
  </r>
  <r>
    <s v="ORD-00115"/>
    <x v="209"/>
    <s v="Q4"/>
    <s v="Monday"/>
    <x v="2"/>
    <s v="(6pm-12am)"/>
    <s v="MA-005"/>
    <x v="2"/>
    <s v="Watertown"/>
    <s v="MA"/>
    <x v="0"/>
    <x v="5"/>
    <s v="Quarter Pounder w/ Cheese"/>
    <n v="1"/>
    <n v="6.08"/>
    <n v="6.08"/>
    <n v="0.91"/>
    <n v="5.17"/>
    <n v="2.17"/>
    <n v="3"/>
    <x v="3"/>
    <s v="Credit Card"/>
    <x v="1"/>
    <s v="Heavy"/>
  </r>
  <r>
    <s v="ORD-00263"/>
    <x v="210"/>
    <s v="Q4"/>
    <s v="Tuesday"/>
    <x v="3"/>
    <s v="(12pm-6pm)"/>
    <s v="MA-005"/>
    <x v="2"/>
    <s v="Watertown"/>
    <s v="MA"/>
    <x v="0"/>
    <x v="0"/>
    <s v="Orange Juice"/>
    <n v="2"/>
    <n v="2.74"/>
    <n v="5.48"/>
    <n v="0"/>
    <n v="5.48"/>
    <n v="2.63"/>
    <n v="2.85"/>
    <x v="3"/>
    <s v="Apple Pay"/>
    <x v="2"/>
    <s v="Light"/>
  </r>
  <r>
    <s v="ORD-00107"/>
    <x v="210"/>
    <s v="Q4"/>
    <s v="Tuesday"/>
    <x v="1"/>
    <s v="(12am-6am)"/>
    <s v="MA-009"/>
    <x v="5"/>
    <s v="Kingston"/>
    <s v="MA"/>
    <x v="3"/>
    <x v="3"/>
    <s v="Apple Pie"/>
    <n v="2"/>
    <n v="1.45"/>
    <n v="2.9"/>
    <n v="0.57999999999999996"/>
    <n v="2.3199999999999998"/>
    <n v="1.21"/>
    <n v="1.1100000000000001"/>
    <x v="2"/>
    <s v="EBT"/>
    <x v="0"/>
    <s v="Aggressive"/>
  </r>
  <r>
    <s v="ORD-00092"/>
    <x v="210"/>
    <s v="Q4"/>
    <s v="Tuesday"/>
    <x v="3"/>
    <s v="(12pm-6pm)"/>
    <s v="MA-007"/>
    <x v="7"/>
    <s v="Burlington"/>
    <s v="MA"/>
    <x v="1"/>
    <x v="3"/>
    <s v="McFlurry Oreo"/>
    <n v="2"/>
    <n v="3.83"/>
    <n v="7.66"/>
    <n v="0.77"/>
    <n v="6.89"/>
    <n v="2.48"/>
    <n v="4.41"/>
    <x v="0"/>
    <s v="EBT"/>
    <x v="1"/>
    <s v="Moderate"/>
  </r>
  <r>
    <s v="ORD-00223"/>
    <x v="211"/>
    <s v="Q4"/>
    <s v="Wednesday"/>
    <x v="2"/>
    <s v="(6pm-12am)"/>
    <s v="MA-007"/>
    <x v="7"/>
    <s v="Burlington"/>
    <s v="MA"/>
    <x v="1"/>
    <x v="5"/>
    <s v="Filet-O-Fish"/>
    <n v="1"/>
    <n v="5.6"/>
    <n v="5.6"/>
    <n v="0"/>
    <n v="5.6"/>
    <n v="2.2599999999999998"/>
    <n v="3.34"/>
    <x v="2"/>
    <s v="EBT"/>
    <x v="2"/>
    <s v="Light"/>
  </r>
  <r>
    <s v="ORD-00198"/>
    <x v="211"/>
    <s v="Q4"/>
    <s v="Wednesday"/>
    <x v="0"/>
    <s v="(6am-12pm)"/>
    <s v="MA-009"/>
    <x v="5"/>
    <s v="Kingston"/>
    <s v="MA"/>
    <x v="3"/>
    <x v="0"/>
    <s v="Bottled Water"/>
    <n v="4"/>
    <n v="1.46"/>
    <n v="5.84"/>
    <n v="1.17"/>
    <n v="4.67"/>
    <n v="2"/>
    <n v="2.67"/>
    <x v="3"/>
    <s v="EBT"/>
    <x v="1"/>
    <s v="Aggressive"/>
  </r>
  <r>
    <s v="ORD-00057"/>
    <x v="211"/>
    <s v="Q4"/>
    <s v="Wednesday"/>
    <x v="2"/>
    <s v="(6pm-12am)"/>
    <s v="MA-006"/>
    <x v="9"/>
    <s v="Marlborough"/>
    <s v="MA"/>
    <x v="2"/>
    <x v="5"/>
    <s v="Filet-O-Fish"/>
    <n v="2"/>
    <n v="5.52"/>
    <n v="11.04"/>
    <n v="0"/>
    <n v="11.04"/>
    <n v="4.95"/>
    <n v="6.09"/>
    <x v="2"/>
    <s v="Cash"/>
    <x v="1"/>
    <s v="Light"/>
  </r>
  <r>
    <s v="ORD-00324"/>
    <x v="212"/>
    <s v="Q4"/>
    <s v="Thursday"/>
    <x v="0"/>
    <s v="(6am-12pm)"/>
    <s v="MA-006"/>
    <x v="9"/>
    <s v="Marlborough"/>
    <s v="MA"/>
    <x v="2"/>
    <x v="2"/>
    <s v="Quarter Pounder Combo"/>
    <n v="1"/>
    <n v="10.73"/>
    <n v="10.73"/>
    <n v="0"/>
    <n v="10.73"/>
    <n v="5.88"/>
    <n v="4.8499999999999996"/>
    <x v="1"/>
    <s v="Cash"/>
    <x v="0"/>
    <s v="Light"/>
  </r>
  <r>
    <s v="ORD-00296"/>
    <x v="212"/>
    <s v="Q4"/>
    <s v="Thursday"/>
    <x v="3"/>
    <s v="(12pm-6pm)"/>
    <s v="MA-007"/>
    <x v="7"/>
    <s v="Burlington"/>
    <s v="MA"/>
    <x v="1"/>
    <x v="2"/>
    <s v="Big Mac Combo"/>
    <n v="1"/>
    <n v="10.38"/>
    <n v="10.38"/>
    <n v="2.08"/>
    <n v="8.3000000000000007"/>
    <n v="4.12"/>
    <n v="4.18"/>
    <x v="2"/>
    <s v="EBT"/>
    <x v="1"/>
    <s v="Aggressive"/>
  </r>
  <r>
    <s v="ORD-00039"/>
    <x v="213"/>
    <s v="Q4"/>
    <s v="Saturday"/>
    <x v="2"/>
    <s v="(6pm-12am)"/>
    <s v="MA-007"/>
    <x v="7"/>
    <s v="Burlington"/>
    <s v="MA"/>
    <x v="1"/>
    <x v="3"/>
    <s v="Apple Pie"/>
    <n v="2"/>
    <n v="1.49"/>
    <n v="2.98"/>
    <n v="0"/>
    <n v="2.98"/>
    <n v="1.44"/>
    <n v="1.54"/>
    <x v="2"/>
    <s v="EBT"/>
    <x v="1"/>
    <s v="Light"/>
  </r>
  <r>
    <s v="ORD-00074"/>
    <x v="214"/>
    <s v="Q4"/>
    <s v="Wednesday"/>
    <x v="3"/>
    <s v="(12pm-6pm)"/>
    <s v="MA-010"/>
    <x v="8"/>
    <s v="Hyannis"/>
    <s v="MA"/>
    <x v="4"/>
    <x v="2"/>
    <s v="Big Mac Combo"/>
    <n v="5"/>
    <n v="10.6"/>
    <n v="53"/>
    <n v="0"/>
    <n v="53"/>
    <n v="18.98"/>
    <n v="34.020000000000003"/>
    <x v="3"/>
    <s v="Apple Pay"/>
    <x v="1"/>
    <s v="Light"/>
  </r>
  <r>
    <s v="ORD-00086"/>
    <x v="214"/>
    <s v="Q4"/>
    <s v="Wednesday"/>
    <x v="0"/>
    <s v="(6am-12pm)"/>
    <s v="MA-009"/>
    <x v="5"/>
    <s v="Kingston"/>
    <s v="MA"/>
    <x v="3"/>
    <x v="4"/>
    <s v="McNuggets 6pc"/>
    <n v="2"/>
    <n v="4.59"/>
    <n v="9.18"/>
    <n v="0"/>
    <n v="9.18"/>
    <n v="4.21"/>
    <n v="4.97"/>
    <x v="0"/>
    <s v="Debit Card"/>
    <x v="1"/>
    <s v="Light"/>
  </r>
  <r>
    <s v="ORD-00344"/>
    <x v="215"/>
    <s v="Q4"/>
    <s v="Thursday"/>
    <x v="1"/>
    <s v="(12am-6am)"/>
    <s v="MA-006"/>
    <x v="9"/>
    <s v="Marlborough"/>
    <s v="MA"/>
    <x v="2"/>
    <x v="4"/>
    <s v="Medium Fries"/>
    <n v="1"/>
    <n v="2.83"/>
    <n v="2.83"/>
    <n v="0"/>
    <n v="2.83"/>
    <n v="1.47"/>
    <n v="1.36"/>
    <x v="1"/>
    <s v="EBT"/>
    <x v="0"/>
    <s v="Light"/>
  </r>
  <r>
    <s v="ORD-00283"/>
    <x v="215"/>
    <s v="Q4"/>
    <s v="Thursday"/>
    <x v="3"/>
    <s v="(12pm-6pm)"/>
    <s v="MA-005"/>
    <x v="2"/>
    <s v="Watertown"/>
    <s v="MA"/>
    <x v="0"/>
    <x v="3"/>
    <s v="McFlurry M&amp;M"/>
    <n v="1"/>
    <n v="3.77"/>
    <n v="3.77"/>
    <n v="0"/>
    <n v="3.77"/>
    <n v="1.88"/>
    <n v="1.89"/>
    <x v="3"/>
    <s v="Debit Card"/>
    <x v="2"/>
    <s v="Light"/>
  </r>
  <r>
    <s v="ORD-00350"/>
    <x v="215"/>
    <s v="Q4"/>
    <s v="Thursday"/>
    <x v="3"/>
    <s v="(12pm-6pm)"/>
    <s v="MA-007"/>
    <x v="7"/>
    <s v="Burlington"/>
    <s v="MA"/>
    <x v="1"/>
    <x v="0"/>
    <s v="Orange Juice"/>
    <n v="4"/>
    <n v="2.81"/>
    <n v="11.24"/>
    <n v="0"/>
    <n v="11.24"/>
    <n v="6.03"/>
    <n v="5.21"/>
    <x v="0"/>
    <s v="Apple Pay"/>
    <x v="1"/>
    <s v="Light"/>
  </r>
  <r>
    <s v="ORD-00260"/>
    <x v="215"/>
    <s v="Q4"/>
    <s v="Thursday"/>
    <x v="2"/>
    <s v="(6pm-12am)"/>
    <s v="MA-003"/>
    <x v="3"/>
    <s v="Boston"/>
    <s v="MA"/>
    <x v="0"/>
    <x v="5"/>
    <s v="Filet-O-Fish"/>
    <n v="2"/>
    <n v="5.73"/>
    <n v="11.46"/>
    <n v="0"/>
    <n v="11.46"/>
    <n v="4.82"/>
    <n v="6.64"/>
    <x v="3"/>
    <s v="EBT"/>
    <x v="2"/>
    <s v="Light"/>
  </r>
  <r>
    <s v="ORD-00160"/>
    <x v="216"/>
    <s v="Q4"/>
    <s v="Saturday"/>
    <x v="3"/>
    <s v="(12pm-6pm)"/>
    <s v="MA-009"/>
    <x v="5"/>
    <s v="Kingston"/>
    <s v="MA"/>
    <x v="3"/>
    <x v="3"/>
    <s v="McFlurry M&amp;M"/>
    <n v="4"/>
    <n v="3.85"/>
    <n v="15.4"/>
    <n v="0.77"/>
    <n v="14.63"/>
    <n v="5.65"/>
    <n v="8.98"/>
    <x v="3"/>
    <s v="Apple Pay"/>
    <x v="1"/>
    <s v="Light"/>
  </r>
  <r>
    <s v="ORD-00265"/>
    <x v="217"/>
    <s v="Q4"/>
    <s v="Sunday"/>
    <x v="3"/>
    <s v="(12pm-6pm)"/>
    <s v="MA-003"/>
    <x v="3"/>
    <s v="Boston"/>
    <s v="MA"/>
    <x v="0"/>
    <x v="4"/>
    <s v="Medium Fries"/>
    <n v="1"/>
    <n v="2.72"/>
    <n v="2.72"/>
    <n v="0"/>
    <n v="2.72"/>
    <n v="0.97"/>
    <n v="1.75"/>
    <x v="4"/>
    <s v="Apple Pay"/>
    <x v="0"/>
    <s v="Light"/>
  </r>
  <r>
    <s v="ORD-00322"/>
    <x v="217"/>
    <s v="Q4"/>
    <s v="Sunday"/>
    <x v="2"/>
    <s v="(6pm-12am)"/>
    <s v="MA-001"/>
    <x v="6"/>
    <s v="Natick"/>
    <s v="MA"/>
    <x v="2"/>
    <x v="4"/>
    <s v="Large Fries"/>
    <n v="2"/>
    <n v="3.51"/>
    <n v="7.02"/>
    <n v="0"/>
    <n v="7.02"/>
    <n v="2.81"/>
    <n v="4.21"/>
    <x v="5"/>
    <s v="EBT"/>
    <x v="1"/>
    <s v="Light"/>
  </r>
  <r>
    <s v="ORD-00133"/>
    <x v="218"/>
    <s v="Q4"/>
    <s v="Monday"/>
    <x v="3"/>
    <s v="(12pm-6pm)"/>
    <s v="MA-009"/>
    <x v="5"/>
    <s v="Kingston"/>
    <s v="MA"/>
    <x v="3"/>
    <x v="5"/>
    <s v="Double Quarter Pounder"/>
    <n v="2"/>
    <n v="7.99"/>
    <n v="15.98"/>
    <n v="0"/>
    <n v="15.98"/>
    <n v="6.58"/>
    <n v="9.4"/>
    <x v="3"/>
    <s v="Cash"/>
    <x v="2"/>
    <s v="Light"/>
  </r>
  <r>
    <s v="ORD-00282"/>
    <x v="219"/>
    <s v="Q4"/>
    <s v="Tuesday"/>
    <x v="3"/>
    <s v="(12pm-6pm)"/>
    <s v="MA-005"/>
    <x v="2"/>
    <s v="Watertown"/>
    <s v="MA"/>
    <x v="0"/>
    <x v="1"/>
    <s v="Croissant"/>
    <n v="1"/>
    <n v="3.05"/>
    <n v="3.05"/>
    <n v="0"/>
    <n v="3.05"/>
    <n v="1.1200000000000001"/>
    <n v="1.93"/>
    <x v="3"/>
    <s v="Cash"/>
    <x v="0"/>
    <s v="Light"/>
  </r>
  <r>
    <s v="ORD-00221"/>
    <x v="220"/>
    <s v="Q4"/>
    <s v="Wednesday"/>
    <x v="3"/>
    <s v="(12pm-6pm)"/>
    <s v="MA-002"/>
    <x v="4"/>
    <s v="Framingham"/>
    <s v="MA"/>
    <x v="2"/>
    <x v="2"/>
    <s v="Quarter Pounder Combo"/>
    <n v="1"/>
    <n v="10.95"/>
    <n v="10.95"/>
    <n v="1.0900000000000001"/>
    <n v="9.86"/>
    <n v="4.12"/>
    <n v="5.74"/>
    <x v="0"/>
    <s v="Google Pay"/>
    <x v="1"/>
    <s v="Moderate"/>
  </r>
  <r>
    <s v="ORD-00044"/>
    <x v="220"/>
    <s v="Q4"/>
    <s v="Wednesday"/>
    <x v="1"/>
    <s v="(12am-6am)"/>
    <s v="MA-001"/>
    <x v="6"/>
    <s v="Natick"/>
    <s v="MA"/>
    <x v="2"/>
    <x v="5"/>
    <s v="McChicken"/>
    <n v="1"/>
    <n v="3.35"/>
    <n v="3.35"/>
    <n v="0.17"/>
    <n v="3.18"/>
    <n v="1.41"/>
    <n v="1.77"/>
    <x v="0"/>
    <s v="Credit Card"/>
    <x v="0"/>
    <s v="Light"/>
  </r>
  <r>
    <s v="ORD-00016"/>
    <x v="221"/>
    <s v="Q4"/>
    <s v="Thursday"/>
    <x v="0"/>
    <s v="(6am-12pm)"/>
    <s v="MA-004"/>
    <x v="0"/>
    <s v="Boston"/>
    <s v="MA"/>
    <x v="0"/>
    <x v="1"/>
    <s v="Cappuccino"/>
    <n v="1"/>
    <n v="4.03"/>
    <n v="4.03"/>
    <n v="0"/>
    <n v="4.03"/>
    <n v="2.14"/>
    <n v="1.89"/>
    <x v="2"/>
    <s v="Debit Card"/>
    <x v="2"/>
    <s v="Light"/>
  </r>
  <r>
    <s v="ORD-00064"/>
    <x v="221"/>
    <s v="Q4"/>
    <s v="Thursday"/>
    <x v="1"/>
    <s v="(12am-6am)"/>
    <s v="MA-003"/>
    <x v="3"/>
    <s v="Boston"/>
    <s v="MA"/>
    <x v="0"/>
    <x v="0"/>
    <s v="Soft Drink L"/>
    <n v="3"/>
    <n v="2.46"/>
    <n v="7.38"/>
    <n v="0.37"/>
    <n v="7.01"/>
    <n v="3.52"/>
    <n v="3.49"/>
    <x v="0"/>
    <s v="Cash"/>
    <x v="1"/>
    <s v="Light"/>
  </r>
  <r>
    <s v="ORD-00316"/>
    <x v="222"/>
    <s v="Q4"/>
    <s v="Sunday"/>
    <x v="2"/>
    <s v="(6pm-12am)"/>
    <s v="MA-002"/>
    <x v="4"/>
    <s v="Framingham"/>
    <s v="MA"/>
    <x v="2"/>
    <x v="0"/>
    <s v="Soft Drink L"/>
    <n v="1"/>
    <n v="2.5299999999999998"/>
    <n v="2.5299999999999998"/>
    <n v="0.25"/>
    <n v="2.2799999999999998"/>
    <n v="0.94"/>
    <n v="1.34"/>
    <x v="1"/>
    <s v="Apple Pay"/>
    <x v="1"/>
    <s v="Moderate"/>
  </r>
  <r>
    <s v="ORD-00191"/>
    <x v="223"/>
    <s v="Q4"/>
    <s v="Thursday"/>
    <x v="1"/>
    <s v="(12am-6am)"/>
    <s v="MA-005"/>
    <x v="2"/>
    <s v="Watertown"/>
    <s v="MA"/>
    <x v="0"/>
    <x v="1"/>
    <s v="Espresso"/>
    <n v="2"/>
    <n v="2.04"/>
    <n v="4.08"/>
    <n v="0"/>
    <n v="4.08"/>
    <n v="1.61"/>
    <n v="2.4700000000000002"/>
    <x v="3"/>
    <s v="Apple Pay"/>
    <x v="0"/>
    <s v="Light"/>
  </r>
  <r>
    <s v="ORD-00180"/>
    <x v="223"/>
    <s v="Q4"/>
    <s v="Thursday"/>
    <x v="2"/>
    <s v="(6pm-12am)"/>
    <s v="MA-008"/>
    <x v="1"/>
    <s v="Peabody"/>
    <s v="MA"/>
    <x v="1"/>
    <x v="3"/>
    <s v="Apple Pie"/>
    <n v="1"/>
    <n v="1.53"/>
    <n v="1.53"/>
    <n v="0.15"/>
    <n v="1.38"/>
    <n v="0.56000000000000005"/>
    <n v="0.82"/>
    <x v="4"/>
    <s v="Google Pay"/>
    <x v="0"/>
    <s v="Moderate"/>
  </r>
  <r>
    <s v="ORD-00031"/>
    <x v="224"/>
    <s v="Q4"/>
    <s v="Friday"/>
    <x v="2"/>
    <s v="(6pm-12am)"/>
    <s v="MA-007"/>
    <x v="7"/>
    <s v="Burlington"/>
    <s v="MA"/>
    <x v="1"/>
    <x v="2"/>
    <s v="Big Mac Combo"/>
    <n v="1"/>
    <n v="10.77"/>
    <n v="10.77"/>
    <n v="0.54"/>
    <n v="10.23"/>
    <n v="3.89"/>
    <n v="6.34"/>
    <x v="4"/>
    <s v="Cash"/>
    <x v="0"/>
    <s v="Light"/>
  </r>
  <r>
    <s v="ORD-00174"/>
    <x v="225"/>
    <s v="Q4"/>
    <s v="Saturday"/>
    <x v="2"/>
    <s v="(6pm-12am)"/>
    <s v="MA-010"/>
    <x v="8"/>
    <s v="Hyannis"/>
    <s v="MA"/>
    <x v="4"/>
    <x v="3"/>
    <s v="Apple Pie"/>
    <n v="3"/>
    <n v="1.48"/>
    <n v="4.4400000000000004"/>
    <n v="0.22"/>
    <n v="4.22"/>
    <n v="2.2999999999999998"/>
    <n v="1.92"/>
    <x v="0"/>
    <s v="Cash"/>
    <x v="1"/>
    <s v="Light"/>
  </r>
  <r>
    <s v="ORD-00079"/>
    <x v="226"/>
    <s v="Q4"/>
    <s v="Sunday"/>
    <x v="1"/>
    <s v="(12am-6am)"/>
    <s v="MA-003"/>
    <x v="3"/>
    <s v="Boston"/>
    <s v="MA"/>
    <x v="0"/>
    <x v="3"/>
    <s v="Soft Serve Cone"/>
    <n v="1"/>
    <n v="0.99"/>
    <n v="0.99"/>
    <n v="0"/>
    <n v="0.99"/>
    <n v="0.51"/>
    <n v="0.48"/>
    <x v="4"/>
    <s v="Apple Pay"/>
    <x v="1"/>
    <s v="Light"/>
  </r>
  <r>
    <s v="ORD-00157"/>
    <x v="226"/>
    <s v="Q4"/>
    <s v="Sunday"/>
    <x v="0"/>
    <s v="(6am-12pm)"/>
    <s v="MA-002"/>
    <x v="4"/>
    <s v="Framingham"/>
    <s v="MA"/>
    <x v="2"/>
    <x v="2"/>
    <s v="Quarter Pounder Combo"/>
    <n v="4"/>
    <n v="11.22"/>
    <n v="44.88"/>
    <n v="4.49"/>
    <n v="40.39"/>
    <n v="21.63"/>
    <n v="18.760000000000002"/>
    <x v="1"/>
    <s v="Credit Card"/>
    <x v="0"/>
    <s v="Moderate"/>
  </r>
  <r>
    <s v="ORD-00325"/>
    <x v="227"/>
    <s v="Q4"/>
    <s v="Monday"/>
    <x v="2"/>
    <s v="(6pm-12am)"/>
    <s v="MA-005"/>
    <x v="2"/>
    <s v="Watertown"/>
    <s v="MA"/>
    <x v="0"/>
    <x v="0"/>
    <s v="Soft Drink L"/>
    <n v="2"/>
    <n v="2.4500000000000002"/>
    <n v="4.9000000000000004"/>
    <n v="0"/>
    <n v="4.9000000000000004"/>
    <n v="2.56"/>
    <n v="2.34"/>
    <x v="0"/>
    <s v="Apple Pay"/>
    <x v="0"/>
    <s v="Light"/>
  </r>
  <r>
    <s v="ORD-00266"/>
    <x v="227"/>
    <s v="Q4"/>
    <s v="Monday"/>
    <x v="0"/>
    <s v="(6am-12pm)"/>
    <s v="MA-009"/>
    <x v="5"/>
    <s v="Kingston"/>
    <s v="MA"/>
    <x v="3"/>
    <x v="4"/>
    <s v="McNuggets 10pc"/>
    <n v="3"/>
    <n v="6.33"/>
    <n v="18.989999999999998"/>
    <n v="0.95"/>
    <n v="18.04"/>
    <n v="8.5399999999999991"/>
    <n v="9.5"/>
    <x v="5"/>
    <s v="Debit Card"/>
    <x v="3"/>
    <s v="Light"/>
  </r>
  <r>
    <s v="ORD-00310"/>
    <x v="228"/>
    <s v="Q4"/>
    <s v="Tuesday"/>
    <x v="1"/>
    <s v="(12am-6am)"/>
    <s v="MA-001"/>
    <x v="6"/>
    <s v="Natick"/>
    <s v="MA"/>
    <x v="2"/>
    <x v="2"/>
    <s v="McChicken Combo"/>
    <n v="1"/>
    <n v="9.64"/>
    <n v="9.64"/>
    <n v="0"/>
    <n v="9.64"/>
    <n v="5.27"/>
    <n v="4.37"/>
    <x v="3"/>
    <s v="Credit Card"/>
    <x v="3"/>
    <s v="Light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FE5C2BD-E632-4533-99CD-068554230740}" name="tbl_review" cacheId="4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5">
  <location ref="AZ6:BA12" firstHeaderRow="1" firstDataRow="1" firstDataCol="1"/>
  <pivotFields count="27">
    <pivotField dataField="1" showAll="0"/>
    <pivotField numFmtId="14" showAll="0">
      <items count="23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t="default"/>
      </items>
    </pivotField>
    <pivotField showAll="0"/>
    <pivotField showAll="0"/>
    <pivotField showAll="0">
      <items count="5">
        <item x="3"/>
        <item x="2"/>
        <item x="0"/>
        <item x="1"/>
        <item t="default"/>
      </items>
    </pivotField>
    <pivotField showAll="0"/>
    <pivotField showAll="0"/>
    <pivotField showAll="0">
      <items count="11">
        <item x="2"/>
        <item x="7"/>
        <item x="8"/>
        <item x="3"/>
        <item x="4"/>
        <item x="5"/>
        <item x="6"/>
        <item x="1"/>
        <item x="9"/>
        <item x="0"/>
        <item t="default"/>
      </items>
    </pivotField>
    <pivotField showAll="0"/>
    <pivotField showAll="0"/>
    <pivotField showAll="0">
      <items count="6">
        <item x="4"/>
        <item x="0"/>
        <item x="2"/>
        <item x="1"/>
        <item x="3"/>
        <item t="default"/>
      </items>
    </pivotField>
    <pivotField showAll="0">
      <items count="7">
        <item x="0"/>
        <item x="5"/>
        <item x="2"/>
        <item x="3"/>
        <item x="1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7">
        <item x="4"/>
        <item x="2"/>
        <item x="3"/>
        <item x="5"/>
        <item x="1"/>
        <item x="0"/>
        <item t="default"/>
      </items>
    </pivotField>
    <pivotField showAll="0"/>
    <pivotField axis="axisRow" sortType="descending">
      <items count="6">
        <item x="1"/>
        <item x="0"/>
        <item x="2"/>
        <item x="3"/>
        <item x="4"/>
        <item t="default"/>
      </items>
    </pivotField>
    <pivotField showAll="0"/>
    <pivotField dragToRow="0" dragToCol="0" dragToPage="0" showAll="0" defaultSubtotal="0"/>
    <pivotField showAll="0" defaultSubtota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2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# Orders" fld="0" subtotal="count" baseField="22" baseItem="0"/>
  </dataFields>
  <chartFormats count="1"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Dash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692E099-585D-4102-BF9A-A98F838EB8FD}" name="tbl_channels" cacheId="4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1">
  <location ref="AV6:AW13" firstHeaderRow="1" firstDataRow="1" firstDataCol="1"/>
  <pivotFields count="27">
    <pivotField showAll="0"/>
    <pivotField numFmtId="14" showAll="0">
      <items count="23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t="default"/>
      </items>
    </pivotField>
    <pivotField showAll="0"/>
    <pivotField showAll="0"/>
    <pivotField showAll="0" sortType="descending">
      <items count="5">
        <item x="3"/>
        <item x="2"/>
        <item x="0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 sortType="descending">
      <items count="11">
        <item x="2"/>
        <item x="7"/>
        <item x="8"/>
        <item x="3"/>
        <item x="4"/>
        <item x="5"/>
        <item x="6"/>
        <item x="1"/>
        <item x="9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>
      <items count="6">
        <item x="4"/>
        <item x="0"/>
        <item x="2"/>
        <item x="1"/>
        <item x="3"/>
        <item t="default"/>
      </items>
    </pivotField>
    <pivotField showAll="0" sortType="descending">
      <items count="7">
        <item x="0"/>
        <item x="5"/>
        <item x="2"/>
        <item x="3"/>
        <item x="1"/>
        <item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axis="axisRow" sortType="descending">
      <items count="7">
        <item x="4"/>
        <item x="2"/>
        <item x="3"/>
        <item x="5"/>
        <item x="1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dragToRow="0" dragToCol="0" dragToPage="0" showAll="0" defaultSubtotal="0"/>
    <pivotField showAll="0" defaultSubtota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20"/>
  </rowFields>
  <rowItems count="7">
    <i>
      <x v="5"/>
    </i>
    <i>
      <x v="2"/>
    </i>
    <i>
      <x v="1"/>
    </i>
    <i>
      <x v="4"/>
    </i>
    <i>
      <x v="3"/>
    </i>
    <i>
      <x/>
    </i>
    <i t="grand">
      <x/>
    </i>
  </rowItems>
  <colItems count="1">
    <i/>
  </colItems>
  <dataFields count="1">
    <dataField name="Gross Profit" fld="19" baseField="7" baseItem="0" numFmtId="7"/>
  </dataFields>
  <chartFormats count="7">
    <chartFormat chart="6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9">
      <pivotArea type="data" outline="0" fieldPosition="0">
        <references count="2">
          <reference field="4294967294" count="1" selected="0">
            <x v="0"/>
          </reference>
          <reference field="20" count="1" selected="0">
            <x v="5"/>
          </reference>
        </references>
      </pivotArea>
    </chartFormat>
    <chartFormat chart="6" format="10">
      <pivotArea type="data" outline="0" fieldPosition="0">
        <references count="2">
          <reference field="4294967294" count="1" selected="0">
            <x v="0"/>
          </reference>
          <reference field="20" count="1" selected="0">
            <x v="2"/>
          </reference>
        </references>
      </pivotArea>
    </chartFormat>
    <chartFormat chart="6" format="11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  <chartFormat chart="6" format="12">
      <pivotArea type="data" outline="0" fieldPosition="0">
        <references count="2">
          <reference field="4294967294" count="1" selected="0">
            <x v="0"/>
          </reference>
          <reference field="20" count="1" selected="0">
            <x v="4"/>
          </reference>
        </references>
      </pivotArea>
    </chartFormat>
    <chartFormat chart="6" format="13">
      <pivotArea type="data" outline="0" fieldPosition="0">
        <references count="2">
          <reference field="4294967294" count="1" selected="0">
            <x v="0"/>
          </reference>
          <reference field="20" count="1" selected="0">
            <x v="3"/>
          </reference>
        </references>
      </pivotArea>
    </chartFormat>
    <chartFormat chart="6" format="14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</chartFormats>
  <pivotTableStyleInfo name="PivotStyleDash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F978DAF-4F0E-40D9-98F5-1653FED3EEFB}" name="tbl_shift" cacheId="4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6">
  <location ref="AR6:AS11" firstHeaderRow="1" firstDataRow="1" firstDataCol="1"/>
  <pivotFields count="27">
    <pivotField showAll="0"/>
    <pivotField numFmtId="14" showAll="0">
      <items count="23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t="default"/>
      </items>
    </pivotField>
    <pivotField showAll="0"/>
    <pivotField showAll="0"/>
    <pivotField axis="axisRow" sortType="descending">
      <items count="5">
        <item x="3"/>
        <item x="2"/>
        <item x="0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 sortType="descending">
      <items count="11">
        <item x="2"/>
        <item x="7"/>
        <item x="8"/>
        <item x="3"/>
        <item x="4"/>
        <item x="5"/>
        <item x="6"/>
        <item x="1"/>
        <item x="9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>
      <items count="6">
        <item x="4"/>
        <item x="0"/>
        <item x="2"/>
        <item x="1"/>
        <item x="3"/>
        <item t="default"/>
      </items>
    </pivotField>
    <pivotField showAll="0" sortType="descending">
      <items count="7">
        <item x="0"/>
        <item x="5"/>
        <item x="2"/>
        <item x="3"/>
        <item x="1"/>
        <item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dragToRow="0" dragToCol="0" dragToPage="0" showAll="0" defaultSubtotal="0"/>
    <pivotField showAll="0" defaultSubtota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4"/>
  </rowFields>
  <rowItems count="5">
    <i>
      <x/>
    </i>
    <i>
      <x v="3"/>
    </i>
    <i>
      <x v="2"/>
    </i>
    <i>
      <x v="1"/>
    </i>
    <i t="grand">
      <x/>
    </i>
  </rowItems>
  <colItems count="1">
    <i/>
  </colItems>
  <dataFields count="1">
    <dataField name="Gross Profit" fld="19" baseField="7" baseItem="0" numFmtId="7"/>
  </dataFields>
  <chartFormats count="10">
    <chartFormat chart="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2" format="3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  <chartFormat chart="2" format="4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2" format="5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3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7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3" format="8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  <chartFormat chart="3" format="9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3" format="10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</chartFormats>
  <pivotTableStyleInfo name="PivotStyleDash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8BA6431-9077-4BD9-9413-E3A957184F8F}" name="Tabela dinâmica7" cacheId="4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K6:AL9" firstHeaderRow="1" firstDataRow="1" firstDataCol="1"/>
  <pivotFields count="27">
    <pivotField showAll="0"/>
    <pivotField numFmtId="14" showAll="0">
      <items count="23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t="default"/>
      </items>
    </pivotField>
    <pivotField showAll="0"/>
    <pivotField showAll="0"/>
    <pivotField showAll="0"/>
    <pivotField showAll="0"/>
    <pivotField showAll="0"/>
    <pivotField showAll="0" measureFilter="1" sortType="descending">
      <items count="11">
        <item x="2"/>
        <item x="7"/>
        <item x="8"/>
        <item x="3"/>
        <item x="4"/>
        <item x="5"/>
        <item x="6"/>
        <item x="1"/>
        <item x="9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>
      <items count="6">
        <item x="4"/>
        <item x="0"/>
        <item x="2"/>
        <item x="1"/>
        <item x="3"/>
        <item t="default"/>
      </items>
    </pivotField>
    <pivotField axis="axisRow" showAll="0" measureFilter="1" sortType="descending">
      <items count="7">
        <item x="0"/>
        <item x="5"/>
        <item x="2"/>
        <item x="3"/>
        <item x="1"/>
        <item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dragToRow="0" dragToCol="0" dragToPage="0" showAll="0" defaultSubtotal="0"/>
    <pivotField showAll="0" defaultSubtota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11"/>
  </rowFields>
  <rowItems count="3">
    <i>
      <x v="2"/>
    </i>
    <i>
      <x v="1"/>
    </i>
    <i t="grand">
      <x/>
    </i>
  </rowItems>
  <colItems count="1">
    <i/>
  </colItems>
  <dataFields count="1">
    <dataField name="Gross Profit" fld="19" baseField="7" baseItem="0" numFmtId="7"/>
  </dataFields>
  <pivotTableStyleInfo name="PivotStyleDash" showRowHeaders="1" showColHeaders="1" showRowStripes="0" showColStripes="0" showLastColumn="1"/>
  <filters count="2">
    <filter fld="11" type="count" evalOrder="-1" id="3" iMeasureFld="0">
      <autoFilter ref="A1">
        <filterColumn colId="0">
          <top10 val="2" filterVal="2"/>
        </filterColumn>
      </autoFilter>
    </filter>
    <filter fld="7" type="count" evalOrder="-1" id="1" iMeasureFld="0">
      <autoFilter ref="A1">
        <filterColumn colId="0">
          <top10 val="3" filterVal="3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FB46895-6C17-4BEB-A2EF-167FDC8E9A4E}" name="Tabela dinâmica6" cacheId="4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E6:AF10" firstHeaderRow="1" firstDataRow="1" firstDataCol="1"/>
  <pivotFields count="27">
    <pivotField showAll="0"/>
    <pivotField numFmtId="14" showAll="0">
      <items count="23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t="default"/>
      </items>
    </pivotField>
    <pivotField showAll="0"/>
    <pivotField showAll="0"/>
    <pivotField showAll="0"/>
    <pivotField showAll="0"/>
    <pivotField showAll="0"/>
    <pivotField axis="axisRow" showAll="0" measureFilter="1" sortType="descending">
      <items count="11">
        <item x="2"/>
        <item x="7"/>
        <item x="8"/>
        <item x="3"/>
        <item x="4"/>
        <item x="5"/>
        <item x="6"/>
        <item x="1"/>
        <item x="9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>
      <items count="6">
        <item x="4"/>
        <item x="0"/>
        <item x="2"/>
        <item x="1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dragToRow="0" dragToCol="0" dragToPage="0" showAll="0" defaultSubtotal="0"/>
    <pivotField showAll="0" defaultSubtota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7"/>
  </rowFields>
  <rowItems count="4">
    <i>
      <x v="2"/>
    </i>
    <i>
      <x v="3"/>
    </i>
    <i>
      <x v="1"/>
    </i>
    <i t="grand">
      <x/>
    </i>
  </rowItems>
  <colItems count="1">
    <i/>
  </colItems>
  <dataFields count="1">
    <dataField name="Gross Profit" fld="19" baseField="7" baseItem="0" numFmtId="7"/>
  </dataFields>
  <pivotTableStyleInfo name="PivotStyleDash" showRowHeaders="1" showColHeaders="1" showRowStripes="0" showColStripes="0" showLastColumn="1"/>
  <filters count="1">
    <filter fld="7" type="count" evalOrder="-1" id="1" iMeasureFld="0">
      <autoFilter ref="A1">
        <filterColumn colId="0">
          <top10 val="3" filterVal="3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C599AF3-BE48-4216-8871-8FC54ACE200C}" name="tbl_cascade" cacheId="4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2">
  <location ref="W6:AB19" firstHeaderRow="0" firstDataRow="1" firstDataCol="1"/>
  <pivotFields count="27">
    <pivotField showAll="0"/>
    <pivotField numFmtId="14" showAll="0">
      <items count="23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6">
        <item x="4"/>
        <item x="0"/>
        <item x="2"/>
        <item x="1"/>
        <item x="3"/>
        <item t="default"/>
      </items>
    </pivotField>
    <pivotField showAll="0"/>
    <pivotField showAll="0"/>
    <pivotField showAll="0"/>
    <pivotField showAll="0"/>
    <pivotField dataField="1" showAll="0"/>
    <pivotField dataField="1" showAll="0"/>
    <pivotField dataField="1" showAll="0"/>
    <pivotField dataField="1" showAll="0"/>
    <pivotField dataField="1" showAll="0"/>
    <pivotField showAll="0"/>
    <pivotField showAll="0"/>
    <pivotField showAll="0"/>
    <pivotField showAll="0"/>
    <pivotField dragToRow="0" dragToCol="0" dragToPage="0" showAll="0" defaultSubtota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26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Gross Revenue" fld="15" baseField="0" baseItem="1" numFmtId="7"/>
    <dataField name="Discount Amount" fld="16" baseField="0" baseItem="1" numFmtId="7"/>
    <dataField name="Net Revenue" fld="17" baseField="0" baseItem="7" numFmtId="7"/>
    <dataField name="COGS" fld="18" baseField="0" baseItem="1" numFmtId="7"/>
    <dataField name="Gross Profit" fld="19" baseField="0" baseItem="7" numFmtId="7"/>
  </dataFields>
  <chartFormats count="5">
    <chartFormat chart="6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1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6" format="1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6" format="13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6" format="14" series="1">
      <pivotArea type="data" outline="0" fieldPosition="0">
        <references count="1">
          <reference field="4294967294" count="1" selected="0">
            <x v="4"/>
          </reference>
        </references>
      </pivotArea>
    </chartFormat>
  </chartFormats>
  <pivotTableStyleInfo name="PivotStyleDash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B900F47-23DB-4D95-A6BA-17C3929E406F}" name="tbl_gross_margin" cacheId="4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2">
  <location ref="R6:T19" firstHeaderRow="0" firstDataRow="1" firstDataCol="1"/>
  <pivotFields count="27">
    <pivotField showAll="0"/>
    <pivotField numFmtId="14" showAll="0">
      <items count="23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6">
        <item x="4"/>
        <item x="0"/>
        <item x="2"/>
        <item x="1"/>
        <item x="3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dragToRow="0" dragToCol="0" dragToPage="0" showAll="0" defaultSubtota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26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Fields count="1">
    <field x="-2"/>
  </colFields>
  <colItems count="2">
    <i>
      <x/>
    </i>
    <i i="1">
      <x v="1"/>
    </i>
  </colItems>
  <dataFields count="2">
    <dataField name="Gross Revenue" fld="15" baseField="0" baseItem="1" numFmtId="7"/>
    <dataField name="Gross Profit Margin %" fld="24" baseField="0" baseItem="7" numFmtId="166"/>
  </dataFields>
  <chartFormats count="2">
    <chartFormat chart="6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Dash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8CC0874-6CA7-475B-A3AE-2A7C15C1F09A}" name="tbl_bigdata" cacheId="4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B6:N19" firstHeaderRow="0" firstDataRow="1" firstDataCol="1"/>
  <pivotFields count="27">
    <pivotField dataField="1" showAll="0"/>
    <pivotField numFmtId="14" showAll="0">
      <items count="23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6">
        <item x="4"/>
        <item x="0"/>
        <item x="2"/>
        <item x="1"/>
        <item x="3"/>
        <item t="default"/>
      </items>
    </pivotField>
    <pivotField multipleItemSelectionAllowed="1" showAll="0">
      <items count="7">
        <item h="1" x="0"/>
        <item h="1" x="5"/>
        <item h="1" x="2"/>
        <item h="1" x="3"/>
        <item h="1" x="1"/>
        <item x="4"/>
        <item t="default"/>
      </items>
    </pivotField>
    <pivotField showAll="0"/>
    <pivotField showAll="0"/>
    <pivotField showAll="0"/>
    <pivotField dataField="1" showAll="0"/>
    <pivotField dataField="1" showAll="0"/>
    <pivotField dataField="1" showAll="0"/>
    <pivotField dataField="1" showAll="0"/>
    <pivotField dataField="1" showAll="0"/>
    <pivotField showAll="0"/>
    <pivotField showAll="0"/>
    <pivotField showAll="0"/>
    <pivotField showAll="0"/>
    <pivotField dataField="1" dragToRow="0" dragToCol="0" dragToPage="0" showAll="0" defaultSubtota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26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Fields count="1">
    <field x="-2"/>
  </colFields>
  <colItems count="12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</colItems>
  <dataFields count="12">
    <dataField name="# Orders" fld="0" subtotal="count" baseField="0" baseItem="0"/>
    <dataField name="Orders %" fld="0" subtotal="count" showDataAs="percentOfTotal" baseField="26" baseItem="1" numFmtId="166"/>
    <dataField name="Gross Revenue" fld="15" baseField="0" baseItem="1" numFmtId="7"/>
    <dataField name="Gross Revenue %" fld="15" showDataAs="percentOfTotal" baseField="0" baseItem="1" numFmtId="166"/>
    <dataField name="Discount Amount" fld="16" baseField="0" baseItem="1" numFmtId="7"/>
    <dataField name="Discount %" fld="16" showDataAs="percentOfTotal" baseField="0" baseItem="2" numFmtId="166"/>
    <dataField name="Net Revenue" fld="17" baseField="0" baseItem="7" numFmtId="7"/>
    <dataField name="Net Revenue %" fld="17" showDataAs="percentOfTotal" baseField="0" baseItem="4" numFmtId="166"/>
    <dataField name="COGS" fld="18" baseField="0" baseItem="1" numFmtId="7"/>
    <dataField name="Gross Profit" fld="19" baseField="0" baseItem="7" numFmtId="7"/>
    <dataField name="Gross Profit %" fld="19" showDataAs="percentOfTotal" baseField="0" baseItem="6" numFmtId="166"/>
    <dataField name="Gross Profit Margin %" fld="24" baseField="0" baseItem="7" numFmtId="166"/>
  </dataFields>
  <pivotTableStyleInfo name="PivotStyleDash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A877F846-F1FF-46F0-AC5E-9FD848172414}" autoFormatId="16" applyNumberFormats="0" applyBorderFormats="0" applyFontFormats="0" applyPatternFormats="0" applyAlignmentFormats="0" applyWidthHeightFormats="0">
  <queryTableRefresh nextId="25">
    <queryTableFields count="24">
      <queryTableField id="1" name="Order_ID" tableColumnId="1"/>
      <queryTableField id="2" name="Date" tableColumnId="2"/>
      <queryTableField id="3" name="Quarter" tableColumnId="3"/>
      <queryTableField id="4" name="Day_of_Week" tableColumnId="4"/>
      <queryTableField id="5" name="Shift Desc" tableColumnId="5"/>
      <queryTableField id="6" name="Shift" tableColumnId="6"/>
      <queryTableField id="7" name="Store_ID" tableColumnId="7"/>
      <queryTableField id="8" name="Store_Name" tableColumnId="8"/>
      <queryTableField id="9" name="City" tableColumnId="9"/>
      <queryTableField id="10" name="State" tableColumnId="10"/>
      <queryTableField id="11" name="Region" tableColumnId="11"/>
      <queryTableField id="12" name="Category" tableColumnId="12"/>
      <queryTableField id="13" name="Product" tableColumnId="13"/>
      <queryTableField id="14" name="Quantity" tableColumnId="14"/>
      <queryTableField id="15" name="Unit_Price" tableColumnId="15"/>
      <queryTableField id="16" name="Gross_Revenue" tableColumnId="16"/>
      <queryTableField id="17" name="Discount_Amount" tableColumnId="17"/>
      <queryTableField id="18" name="Net_Revenue" tableColumnId="18"/>
      <queryTableField id="19" name="Cost_Of_Goods_Sold" tableColumnId="19"/>
      <queryTableField id="20" name="Gross_Profit" tableColumnId="20"/>
      <queryTableField id="21" name="Sales_Channel" tableColumnId="21"/>
      <queryTableField id="22" name="Payment_Method" tableColumnId="22"/>
      <queryTableField id="23" name="Customer_Satisfaction" tableColumnId="23"/>
      <queryTableField id="24" name="Discount_Tier" tableColumnId="24"/>
    </queryTableFields>
  </queryTableRefresh>
</queryTable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Region" xr10:uid="{EB62B848-154E-4E3F-805A-19323AD5F492}" sourceName="Region">
  <pivotTables>
    <pivotTable tabId="3" name="tbl_gross_margin"/>
    <pivotTable tabId="3" name="tbl_bigdata"/>
    <pivotTable tabId="3" name="tbl_cascade"/>
  </pivotTables>
  <data>
    <tabular pivotCacheId="1657635766">
      <items count="5">
        <i x="4" s="1"/>
        <i x="0" s="1"/>
        <i x="2" s="1"/>
        <i x="1" s="1"/>
        <i x="3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tore_Name" xr10:uid="{CA66163F-3806-42B8-A43D-A91A8B4ACC03}" sourceName="Store_Name">
  <pivotTables>
    <pivotTable tabId="3" name="tbl_channels"/>
    <pivotTable tabId="3" name="tbl_review"/>
    <pivotTable tabId="3" name="tbl_shift"/>
  </pivotTables>
  <data>
    <tabular pivotCacheId="1657635766">
      <items count="10">
        <i x="2" s="1"/>
        <i x="7" s="1"/>
        <i x="8" s="1"/>
        <i x="3" s="1"/>
        <i x="4" s="1"/>
        <i x="5" s="1"/>
        <i x="6" s="1"/>
        <i x="1" s="1"/>
        <i x="9" s="1"/>
        <i x="0" s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Category" xr10:uid="{BF3842C6-513C-403B-81F2-D9338024F764}" sourceName="Category">
  <pivotTables>
    <pivotTable tabId="3" name="tbl_channels"/>
    <pivotTable tabId="3" name="tbl_review"/>
    <pivotTable tabId="3" name="tbl_shift"/>
  </pivotTables>
  <data>
    <tabular pivotCacheId="1657635766">
      <items count="6">
        <i x="0" s="1"/>
        <i x="5" s="1"/>
        <i x="2" s="1"/>
        <i x="3" s="1"/>
        <i x="1" s="1"/>
        <i x="4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Region" xr10:uid="{8CD9F925-6707-4C1B-8784-36069D5D7435}" cache="SegmentaçãodeDados_Region" caption="Region" style="SlicerStyleDash" rowHeight="254000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tore_Name" xr10:uid="{BFB9A4F8-3C68-44AB-88AD-9085D4853ABF}" cache="SegmentaçãodeDados_Store_Name" caption="Store_Name" style="SlicerStyleDash" rowHeight="254000"/>
  <slicer name="Category" xr10:uid="{2093506F-5FB7-4D28-808E-E3515A267E00}" cache="SegmentaçãodeDados_Category" caption="Category" style="SlicerStyleDash" rowHeight="254000"/>
</slicer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CC5DB23-1485-4EB7-A634-055956FD3A36}" name="Tabela1" displayName="Tabela1" ref="A1:U351" totalsRowShown="0" headerRowDxfId="47" headerRowBorderDxfId="46" tableBorderDxfId="45" totalsRowBorderDxfId="44">
  <autoFilter ref="A1:U351" xr:uid="{7CC5DB23-1485-4EB7-A634-055956FD3A36}"/>
  <tableColumns count="21">
    <tableColumn id="1" xr3:uid="{171602B5-7D45-4121-89F3-8D6C0BB52A4B}" name="Order_ID" dataDxfId="43"/>
    <tableColumn id="2" xr3:uid="{ED12DBBA-5999-4EED-8813-3410DD5816F8}" name="Date" dataDxfId="42"/>
    <tableColumn id="7" xr3:uid="{6B6CC500-8963-4CA3-9CF1-97B6C02BE69B}" name="Day_of_Week" dataDxfId="41"/>
    <tableColumn id="9" xr3:uid="{1D62857D-1806-4410-8A13-2616209548AC}" name="Shift" dataDxfId="40"/>
    <tableColumn id="10" xr3:uid="{86EE5618-C9AB-423B-A8C5-C7A70AA688D0}" name="Store_ID" dataDxfId="39"/>
    <tableColumn id="11" xr3:uid="{9C85DB1A-6633-404F-A7BB-C6B10A19EE75}" name="Store_Name" dataDxfId="38"/>
    <tableColumn id="12" xr3:uid="{5BB6B9D3-4576-46EA-B986-A3AABD01D95F}" name="City" dataDxfId="37"/>
    <tableColumn id="13" xr3:uid="{26AA3AC5-E5E6-4785-801C-20F487B4C6DB}" name="State" dataDxfId="36"/>
    <tableColumn id="14" xr3:uid="{A27A7030-5681-4127-A291-2643FCAC29BA}" name="Region" dataDxfId="35"/>
    <tableColumn id="15" xr3:uid="{68B930A0-E9CE-495E-B006-37229B25DA39}" name="Category" dataDxfId="34"/>
    <tableColumn id="16" xr3:uid="{E50FC0DC-387E-49B4-82F6-7DFCAB8F774F}" name="Product" dataDxfId="33"/>
    <tableColumn id="17" xr3:uid="{59F3545D-F020-4774-8C0C-D6CA0C42AAFD}" name="Quantity" dataDxfId="32"/>
    <tableColumn id="18" xr3:uid="{9D60E272-9087-4614-9238-2746CDA054F4}" name="Unit_Price" dataDxfId="31"/>
    <tableColumn id="19" xr3:uid="{B2C93ACB-F6EF-4930-B4D3-7ADD83B76C56}" name="Gross_Revenue" dataDxfId="30"/>
    <tableColumn id="22" xr3:uid="{1B7AFD2A-6BF8-4D22-B117-9EB68F663E5B}" name="Discount_Amount" dataDxfId="29"/>
    <tableColumn id="23" xr3:uid="{B11866A5-28E8-4657-A329-BC0F25E0F4EB}" name="Net_Revenue" dataDxfId="28"/>
    <tableColumn id="24" xr3:uid="{688756F4-1CA4-4521-9718-D9EB58E3010E}" name="Cost_Of_Goods_Sold" dataDxfId="27"/>
    <tableColumn id="25" xr3:uid="{C4BDC2A1-3A71-4C80-B19F-F23159A58302}" name="Gross_Profit" dataDxfId="26"/>
    <tableColumn id="26" xr3:uid="{95DEAB17-B76F-459A-9EC8-E323145DDBC7}" name="Sales_Channel" dataDxfId="25"/>
    <tableColumn id="27" xr3:uid="{F54AAD86-56EE-45BD-B33C-620A8FBE472E}" name="Payment_Method" dataDxfId="24"/>
    <tableColumn id="28" xr3:uid="{7B64737C-D679-4D3C-A89B-D891460262CA}" name="Customer_Satisfaction" dataDxfId="23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4A1B7FB-58C3-4329-AC57-3B060BFF54B4}" name="tbl_base" displayName="tbl_base" ref="A1:X351" tableType="queryTable" totalsRowShown="0">
  <autoFilter ref="A1:X351" xr:uid="{B4A1B7FB-58C3-4329-AC57-3B060BFF54B4}"/>
  <tableColumns count="24">
    <tableColumn id="1" xr3:uid="{B61DAD40-17AE-42D0-A9B7-E115193C0A4E}" uniqueName="1" name="Order_ID" queryTableFieldId="1" dataDxfId="16"/>
    <tableColumn id="2" xr3:uid="{AB23971E-4773-4878-B268-2B00921DABCB}" uniqueName="2" name="Date" queryTableFieldId="2" dataDxfId="1"/>
    <tableColumn id="3" xr3:uid="{E685D0C5-6652-46AA-8161-654905EC538F}" uniqueName="3" name="Quarter" queryTableFieldId="3"/>
    <tableColumn id="4" xr3:uid="{4856AF64-8BAB-43F3-AF1D-0D4AA1CA9011}" uniqueName="4" name="Day_of_Week" queryTableFieldId="4" dataDxfId="15"/>
    <tableColumn id="5" xr3:uid="{D97F7D41-3EF7-4E35-9F20-4BDB140DA853}" uniqueName="5" name="Shift Desc" queryTableFieldId="5" dataDxfId="14"/>
    <tableColumn id="6" xr3:uid="{C137A918-C2BC-499A-8F5E-A4CC4A4EDE94}" uniqueName="6" name="Shift" queryTableFieldId="6" dataDxfId="13"/>
    <tableColumn id="7" xr3:uid="{ABC29BE3-E7E8-4B80-B4E3-B59D369398E3}" uniqueName="7" name="Store_ID" queryTableFieldId="7" dataDxfId="12"/>
    <tableColumn id="8" xr3:uid="{4583DB39-74A3-4310-A347-AC22BE1BA216}" uniqueName="8" name="Store_Name" queryTableFieldId="8" dataDxfId="11"/>
    <tableColumn id="9" xr3:uid="{0C33D35C-11BE-478E-B79C-0F81D38372A3}" uniqueName="9" name="City" queryTableFieldId="9" dataDxfId="10"/>
    <tableColumn id="10" xr3:uid="{69039491-D275-430D-BEB2-C3B83843E4BA}" uniqueName="10" name="State" queryTableFieldId="10" dataDxfId="9"/>
    <tableColumn id="11" xr3:uid="{C6026399-A03A-40E8-9C14-6138ADB0B4DD}" uniqueName="11" name="Region" queryTableFieldId="11" dataDxfId="8"/>
    <tableColumn id="12" xr3:uid="{73C01331-A40D-4A95-A588-EF46885AF036}" uniqueName="12" name="Category" queryTableFieldId="12" dataDxfId="7"/>
    <tableColumn id="13" xr3:uid="{766201F5-066E-42F3-B4D8-46163EAFAE5E}" uniqueName="13" name="Product" queryTableFieldId="13" dataDxfId="6"/>
    <tableColumn id="14" xr3:uid="{03C2C1D4-1B5A-493E-A757-2699D3E98AB8}" uniqueName="14" name="Quantity" queryTableFieldId="14"/>
    <tableColumn id="15" xr3:uid="{30A7BAF8-FC68-4BC6-A478-A14FB33AB086}" uniqueName="15" name="Unit_Price" queryTableFieldId="15"/>
    <tableColumn id="16" xr3:uid="{BEDED99A-5900-4C68-809B-30DDA12A53C4}" uniqueName="16" name="Gross_Revenue" queryTableFieldId="16"/>
    <tableColumn id="17" xr3:uid="{F34EFEFD-8A90-4E01-BCA5-09D7955F1423}" uniqueName="17" name="Discount_Amount" queryTableFieldId="17"/>
    <tableColumn id="18" xr3:uid="{52843584-B605-4666-8FE9-D378464006C2}" uniqueName="18" name="Net_Revenue" queryTableFieldId="18"/>
    <tableColumn id="19" xr3:uid="{CB067CA1-9438-4A3E-AC79-1BE89D9A8F63}" uniqueName="19" name="Cost_Of_Goods_Sold" queryTableFieldId="19"/>
    <tableColumn id="20" xr3:uid="{FAA2AF0E-E4B6-485E-ACFD-1ACD7BCCF22E}" uniqueName="20" name="Gross_Profit" queryTableFieldId="20"/>
    <tableColumn id="21" xr3:uid="{F350E343-8F7E-46C9-B916-D6C373FEAB13}" uniqueName="21" name="Sales_Channel" queryTableFieldId="21" dataDxfId="5"/>
    <tableColumn id="22" xr3:uid="{466FC818-8791-4084-9C3A-E8BF83050FDF}" uniqueName="22" name="Payment_Method" queryTableFieldId="22" dataDxfId="4"/>
    <tableColumn id="23" xr3:uid="{4DCDD16E-29B4-46B8-841B-2ECF952768CF}" uniqueName="23" name="Customer_Satisfaction" queryTableFieldId="23"/>
    <tableColumn id="24" xr3:uid="{69D3789C-C402-4507-A674-55C2E09ABB45}" uniqueName="24" name="Discount_Tier" queryTableFieldId="24" dataDxfId="0"/>
  </tableColumns>
  <tableStyleInfo name="Estilo Dashboard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3" Type="http://schemas.microsoft.com/office/2007/relationships/slicer" Target="../slicers/slicer2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8F480F-7F33-4C05-9FB1-028783EFA225}">
  <sheetPr>
    <tabColor rgb="FFC00000"/>
  </sheetPr>
  <dimension ref="B3:F8"/>
  <sheetViews>
    <sheetView showGridLines="0" workbookViewId="0">
      <selection activeCell="B6" sqref="B6"/>
    </sheetView>
  </sheetViews>
  <sheetFormatPr defaultRowHeight="18.3" x14ac:dyDescent="1"/>
  <cols>
    <col min="1" max="1" width="8.83984375" style="2"/>
    <col min="2" max="2" width="13.3125" style="2" bestFit="1" customWidth="1"/>
    <col min="3" max="3" width="13.3125" style="2" customWidth="1"/>
    <col min="4" max="4" width="8.83984375" style="2"/>
    <col min="5" max="5" width="5.89453125" style="2" customWidth="1"/>
    <col min="6" max="16384" width="8.83984375" style="2"/>
  </cols>
  <sheetData>
    <row r="3" spans="2:6" x14ac:dyDescent="1">
      <c r="B3" s="1" t="s">
        <v>0</v>
      </c>
      <c r="C3" s="1"/>
      <c r="E3" s="1" t="s">
        <v>1</v>
      </c>
      <c r="F3" s="2" t="s">
        <v>2</v>
      </c>
    </row>
    <row r="5" spans="2:6" x14ac:dyDescent="1">
      <c r="B5" s="3" t="s">
        <v>3</v>
      </c>
      <c r="C5" s="7" t="s">
        <v>7</v>
      </c>
    </row>
    <row r="6" spans="2:6" x14ac:dyDescent="1">
      <c r="B6" s="4" t="s">
        <v>4</v>
      </c>
      <c r="C6" s="42" t="s">
        <v>522</v>
      </c>
    </row>
    <row r="7" spans="2:6" x14ac:dyDescent="1">
      <c r="B7" s="5" t="s">
        <v>5</v>
      </c>
      <c r="C7" s="5"/>
    </row>
    <row r="8" spans="2:6" x14ac:dyDescent="1">
      <c r="B8" s="6" t="s">
        <v>6</v>
      </c>
      <c r="C8" s="8" t="s">
        <v>8</v>
      </c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9883F6-96BC-4C58-AEE2-F4C531F11CD4}">
  <sheetPr>
    <tabColor rgb="FFC00000"/>
  </sheetPr>
  <dimension ref="A1:U351"/>
  <sheetViews>
    <sheetView showGridLines="0" workbookViewId="0">
      <selection activeCell="B6" sqref="B6"/>
    </sheetView>
  </sheetViews>
  <sheetFormatPr defaultColWidth="8.68359375" defaultRowHeight="14.7" x14ac:dyDescent="0.8"/>
  <cols>
    <col min="1" max="1" width="10.41796875" style="18" bestFit="1" customWidth="1"/>
    <col min="2" max="2" width="7.83984375" style="18" bestFit="1" customWidth="1"/>
    <col min="3" max="3" width="13.1015625" style="18" bestFit="1" customWidth="1"/>
    <col min="4" max="4" width="13.3671875" style="18" bestFit="1" customWidth="1"/>
    <col min="5" max="5" width="10.20703125" style="18" bestFit="1" customWidth="1"/>
    <col min="6" max="6" width="12.3671875" style="18" bestFit="1" customWidth="1"/>
    <col min="7" max="7" width="7.62890625" style="18" bestFit="1" customWidth="1"/>
    <col min="8" max="8" width="8.15625" style="18" bestFit="1" customWidth="1"/>
    <col min="9" max="9" width="9.26171875" style="18" bestFit="1" customWidth="1"/>
    <col min="10" max="10" width="10.41796875" style="18" bestFit="1" customWidth="1"/>
    <col min="11" max="11" width="15.89453125" style="18" bestFit="1" customWidth="1"/>
    <col min="12" max="12" width="10.05078125" style="18" bestFit="1" customWidth="1"/>
    <col min="13" max="13" width="11.3125" style="18" bestFit="1" customWidth="1"/>
    <col min="14" max="14" width="14.47265625" style="18" bestFit="1" customWidth="1"/>
    <col min="15" max="15" width="15.62890625" style="18" bestFit="1" customWidth="1"/>
    <col min="16" max="16" width="13" style="18" bestFit="1" customWidth="1"/>
    <col min="17" max="17" width="17.734375" style="18" bestFit="1" customWidth="1"/>
    <col min="18" max="18" width="12.5234375" style="18" bestFit="1" customWidth="1"/>
    <col min="19" max="19" width="14" style="18" bestFit="1" customWidth="1"/>
    <col min="20" max="20" width="15.41796875" style="18" bestFit="1" customWidth="1"/>
    <col min="21" max="21" width="18.734375" style="18" bestFit="1" customWidth="1"/>
    <col min="22" max="16384" width="8.68359375" style="18"/>
  </cols>
  <sheetData>
    <row r="1" spans="1:21" s="12" customFormat="1" x14ac:dyDescent="0.8">
      <c r="A1" s="9" t="s">
        <v>9</v>
      </c>
      <c r="B1" s="10" t="s">
        <v>10</v>
      </c>
      <c r="C1" s="10" t="s">
        <v>12</v>
      </c>
      <c r="D1" s="10" t="s">
        <v>13</v>
      </c>
      <c r="E1" s="10" t="s">
        <v>14</v>
      </c>
      <c r="F1" s="10" t="s">
        <v>15</v>
      </c>
      <c r="G1" s="10" t="s">
        <v>16</v>
      </c>
      <c r="H1" s="10" t="s">
        <v>17</v>
      </c>
      <c r="I1" s="10" t="s">
        <v>18</v>
      </c>
      <c r="J1" s="10" t="s">
        <v>19</v>
      </c>
      <c r="K1" s="10" t="s">
        <v>20</v>
      </c>
      <c r="L1" s="10" t="s">
        <v>21</v>
      </c>
      <c r="M1" s="10" t="s">
        <v>22</v>
      </c>
      <c r="N1" s="10" t="s">
        <v>23</v>
      </c>
      <c r="O1" s="10" t="s">
        <v>25</v>
      </c>
      <c r="P1" s="10" t="s">
        <v>26</v>
      </c>
      <c r="Q1" s="10" t="s">
        <v>27</v>
      </c>
      <c r="R1" s="10" t="s">
        <v>28</v>
      </c>
      <c r="S1" s="10" t="s">
        <v>29</v>
      </c>
      <c r="T1" s="10" t="s">
        <v>30</v>
      </c>
      <c r="U1" s="11" t="s">
        <v>31</v>
      </c>
    </row>
    <row r="2" spans="1:21" x14ac:dyDescent="0.8">
      <c r="A2" s="13" t="s">
        <v>32</v>
      </c>
      <c r="B2" s="14">
        <v>45294</v>
      </c>
      <c r="C2" s="15" t="s">
        <v>34</v>
      </c>
      <c r="D2" s="15" t="s">
        <v>35</v>
      </c>
      <c r="E2" s="15" t="s">
        <v>36</v>
      </c>
      <c r="F2" s="15" t="s">
        <v>37</v>
      </c>
      <c r="G2" s="15" t="s">
        <v>38</v>
      </c>
      <c r="H2" s="15" t="s">
        <v>39</v>
      </c>
      <c r="I2" s="15" t="s">
        <v>40</v>
      </c>
      <c r="J2" s="15" t="s">
        <v>41</v>
      </c>
      <c r="K2" s="15" t="s">
        <v>42</v>
      </c>
      <c r="L2" s="15">
        <v>3</v>
      </c>
      <c r="M2" s="16">
        <v>4.57</v>
      </c>
      <c r="N2" s="16">
        <v>13.71</v>
      </c>
      <c r="O2" s="16">
        <v>0</v>
      </c>
      <c r="P2" s="16">
        <v>13.71</v>
      </c>
      <c r="Q2" s="16">
        <v>5.08</v>
      </c>
      <c r="R2" s="16">
        <v>8.6300000000000008</v>
      </c>
      <c r="S2" s="15" t="s">
        <v>43</v>
      </c>
      <c r="T2" s="15" t="s">
        <v>44</v>
      </c>
      <c r="U2" s="17">
        <v>4</v>
      </c>
    </row>
    <row r="3" spans="1:21" x14ac:dyDescent="0.8">
      <c r="A3" s="13" t="s">
        <v>45</v>
      </c>
      <c r="B3" s="14">
        <v>45295</v>
      </c>
      <c r="C3" s="15" t="s">
        <v>46</v>
      </c>
      <c r="D3" s="15" t="s">
        <v>47</v>
      </c>
      <c r="E3" s="15" t="s">
        <v>48</v>
      </c>
      <c r="F3" s="15" t="s">
        <v>49</v>
      </c>
      <c r="G3" s="15" t="s">
        <v>50</v>
      </c>
      <c r="H3" s="15" t="s">
        <v>39</v>
      </c>
      <c r="I3" s="15" t="s">
        <v>51</v>
      </c>
      <c r="J3" s="15" t="s">
        <v>52</v>
      </c>
      <c r="K3" s="15" t="s">
        <v>53</v>
      </c>
      <c r="L3" s="15">
        <v>1</v>
      </c>
      <c r="M3" s="16">
        <v>2.4700000000000002</v>
      </c>
      <c r="N3" s="16">
        <v>2.4700000000000002</v>
      </c>
      <c r="O3" s="16">
        <v>0.25</v>
      </c>
      <c r="P3" s="16">
        <v>2.2200000000000002</v>
      </c>
      <c r="Q3" s="16">
        <v>1</v>
      </c>
      <c r="R3" s="16">
        <v>1.22</v>
      </c>
      <c r="S3" s="15" t="s">
        <v>54</v>
      </c>
      <c r="T3" s="15" t="s">
        <v>55</v>
      </c>
      <c r="U3" s="17">
        <v>4</v>
      </c>
    </row>
    <row r="4" spans="1:21" x14ac:dyDescent="0.8">
      <c r="A4" s="13" t="s">
        <v>56</v>
      </c>
      <c r="B4" s="14">
        <v>45296</v>
      </c>
      <c r="C4" s="15" t="s">
        <v>57</v>
      </c>
      <c r="D4" s="15" t="s">
        <v>47</v>
      </c>
      <c r="E4" s="15" t="s">
        <v>58</v>
      </c>
      <c r="F4" s="15" t="s">
        <v>59</v>
      </c>
      <c r="G4" s="15" t="s">
        <v>60</v>
      </c>
      <c r="H4" s="15" t="s">
        <v>39</v>
      </c>
      <c r="I4" s="15" t="s">
        <v>40</v>
      </c>
      <c r="J4" s="15" t="s">
        <v>61</v>
      </c>
      <c r="K4" s="15" t="s">
        <v>62</v>
      </c>
      <c r="L4" s="15">
        <v>4</v>
      </c>
      <c r="M4" s="16">
        <v>10.39</v>
      </c>
      <c r="N4" s="16">
        <v>41.56</v>
      </c>
      <c r="O4" s="16">
        <v>0</v>
      </c>
      <c r="P4" s="16">
        <v>41.56</v>
      </c>
      <c r="Q4" s="16">
        <v>19.88</v>
      </c>
      <c r="R4" s="16">
        <v>21.68</v>
      </c>
      <c r="S4" s="15" t="s">
        <v>43</v>
      </c>
      <c r="T4" s="15" t="s">
        <v>63</v>
      </c>
      <c r="U4" s="17">
        <v>5</v>
      </c>
    </row>
    <row r="5" spans="1:21" x14ac:dyDescent="0.8">
      <c r="A5" s="13" t="s">
        <v>64</v>
      </c>
      <c r="B5" s="14">
        <v>45296</v>
      </c>
      <c r="C5" s="15" t="s">
        <v>57</v>
      </c>
      <c r="D5" s="15" t="s">
        <v>65</v>
      </c>
      <c r="E5" s="15" t="s">
        <v>48</v>
      </c>
      <c r="F5" s="15" t="s">
        <v>49</v>
      </c>
      <c r="G5" s="15" t="s">
        <v>50</v>
      </c>
      <c r="H5" s="15" t="s">
        <v>39</v>
      </c>
      <c r="I5" s="15" t="s">
        <v>51</v>
      </c>
      <c r="J5" s="15" t="s">
        <v>66</v>
      </c>
      <c r="K5" s="15" t="s">
        <v>67</v>
      </c>
      <c r="L5" s="15">
        <v>1</v>
      </c>
      <c r="M5" s="16">
        <v>1</v>
      </c>
      <c r="N5" s="16">
        <v>1</v>
      </c>
      <c r="O5" s="16">
        <v>0</v>
      </c>
      <c r="P5" s="16">
        <v>1</v>
      </c>
      <c r="Q5" s="16">
        <v>0.47</v>
      </c>
      <c r="R5" s="16">
        <v>0.53</v>
      </c>
      <c r="S5" s="15" t="s">
        <v>54</v>
      </c>
      <c r="T5" s="15" t="s">
        <v>63</v>
      </c>
      <c r="U5" s="17">
        <v>4</v>
      </c>
    </row>
    <row r="6" spans="1:21" x14ac:dyDescent="0.8">
      <c r="A6" s="13" t="s">
        <v>68</v>
      </c>
      <c r="B6" s="14">
        <v>45297</v>
      </c>
      <c r="C6" s="15" t="s">
        <v>69</v>
      </c>
      <c r="D6" s="15" t="s">
        <v>70</v>
      </c>
      <c r="E6" s="15" t="s">
        <v>58</v>
      </c>
      <c r="F6" s="15" t="s">
        <v>59</v>
      </c>
      <c r="G6" s="15" t="s">
        <v>60</v>
      </c>
      <c r="H6" s="15" t="s">
        <v>39</v>
      </c>
      <c r="I6" s="15" t="s">
        <v>40</v>
      </c>
      <c r="J6" s="15" t="s">
        <v>52</v>
      </c>
      <c r="K6" s="15" t="s">
        <v>71</v>
      </c>
      <c r="L6" s="15">
        <v>2</v>
      </c>
      <c r="M6" s="16">
        <v>3.89</v>
      </c>
      <c r="N6" s="16">
        <v>7.78</v>
      </c>
      <c r="O6" s="16">
        <v>0</v>
      </c>
      <c r="P6" s="16">
        <v>7.78</v>
      </c>
      <c r="Q6" s="16">
        <v>3.2</v>
      </c>
      <c r="R6" s="16">
        <v>4.58</v>
      </c>
      <c r="S6" s="15" t="s">
        <v>72</v>
      </c>
      <c r="T6" s="15" t="s">
        <v>73</v>
      </c>
      <c r="U6" s="17">
        <v>5</v>
      </c>
    </row>
    <row r="7" spans="1:21" x14ac:dyDescent="0.8">
      <c r="A7" s="13" t="s">
        <v>74</v>
      </c>
      <c r="B7" s="14">
        <v>45299</v>
      </c>
      <c r="C7" s="15" t="s">
        <v>75</v>
      </c>
      <c r="D7" s="15" t="s">
        <v>47</v>
      </c>
      <c r="E7" s="15" t="s">
        <v>76</v>
      </c>
      <c r="F7" s="15" t="s">
        <v>77</v>
      </c>
      <c r="G7" s="15" t="s">
        <v>38</v>
      </c>
      <c r="H7" s="15" t="s">
        <v>39</v>
      </c>
      <c r="I7" s="15" t="s">
        <v>40</v>
      </c>
      <c r="J7" s="15" t="s">
        <v>78</v>
      </c>
      <c r="K7" s="15" t="s">
        <v>79</v>
      </c>
      <c r="L7" s="15">
        <v>1</v>
      </c>
      <c r="M7" s="16">
        <v>3.55</v>
      </c>
      <c r="N7" s="16">
        <v>3.55</v>
      </c>
      <c r="O7" s="16">
        <v>0</v>
      </c>
      <c r="P7" s="16">
        <v>3.55</v>
      </c>
      <c r="Q7" s="16">
        <v>1.69</v>
      </c>
      <c r="R7" s="16">
        <v>1.86</v>
      </c>
      <c r="S7" s="15" t="s">
        <v>72</v>
      </c>
      <c r="T7" s="15" t="s">
        <v>73</v>
      </c>
      <c r="U7" s="17">
        <v>5</v>
      </c>
    </row>
    <row r="8" spans="1:21" x14ac:dyDescent="0.8">
      <c r="A8" s="13" t="s">
        <v>80</v>
      </c>
      <c r="B8" s="14">
        <v>45300</v>
      </c>
      <c r="C8" s="15" t="s">
        <v>81</v>
      </c>
      <c r="D8" s="15" t="s">
        <v>35</v>
      </c>
      <c r="E8" s="15" t="s">
        <v>82</v>
      </c>
      <c r="F8" s="15" t="s">
        <v>83</v>
      </c>
      <c r="G8" s="15" t="s">
        <v>84</v>
      </c>
      <c r="H8" s="15" t="s">
        <v>39</v>
      </c>
      <c r="I8" s="15" t="s">
        <v>85</v>
      </c>
      <c r="J8" s="15" t="s">
        <v>66</v>
      </c>
      <c r="K8" s="15" t="s">
        <v>86</v>
      </c>
      <c r="L8" s="15">
        <v>2</v>
      </c>
      <c r="M8" s="16">
        <v>3.73</v>
      </c>
      <c r="N8" s="16">
        <v>7.46</v>
      </c>
      <c r="O8" s="16">
        <v>0.37</v>
      </c>
      <c r="P8" s="16">
        <v>7.09</v>
      </c>
      <c r="Q8" s="16">
        <v>3</v>
      </c>
      <c r="R8" s="16">
        <v>4.09</v>
      </c>
      <c r="S8" s="15" t="s">
        <v>43</v>
      </c>
      <c r="T8" s="15" t="s">
        <v>87</v>
      </c>
      <c r="U8" s="17">
        <v>4</v>
      </c>
    </row>
    <row r="9" spans="1:21" x14ac:dyDescent="0.8">
      <c r="A9" s="13" t="s">
        <v>88</v>
      </c>
      <c r="B9" s="14">
        <v>45300</v>
      </c>
      <c r="C9" s="15" t="s">
        <v>81</v>
      </c>
      <c r="D9" s="15" t="s">
        <v>35</v>
      </c>
      <c r="E9" s="15" t="s">
        <v>89</v>
      </c>
      <c r="F9" s="15" t="s">
        <v>90</v>
      </c>
      <c r="G9" s="15" t="s">
        <v>91</v>
      </c>
      <c r="H9" s="15" t="s">
        <v>39</v>
      </c>
      <c r="I9" s="15" t="s">
        <v>92</v>
      </c>
      <c r="J9" s="15" t="s">
        <v>52</v>
      </c>
      <c r="K9" s="15" t="s">
        <v>53</v>
      </c>
      <c r="L9" s="15">
        <v>3</v>
      </c>
      <c r="M9" s="16">
        <v>2.5499999999999998</v>
      </c>
      <c r="N9" s="16">
        <v>7.65</v>
      </c>
      <c r="O9" s="16">
        <v>0</v>
      </c>
      <c r="P9" s="16">
        <v>7.65</v>
      </c>
      <c r="Q9" s="16">
        <v>2.82</v>
      </c>
      <c r="R9" s="16">
        <v>4.83</v>
      </c>
      <c r="S9" s="15" t="s">
        <v>93</v>
      </c>
      <c r="T9" s="15" t="s">
        <v>44</v>
      </c>
      <c r="U9" s="17">
        <v>4</v>
      </c>
    </row>
    <row r="10" spans="1:21" x14ac:dyDescent="0.8">
      <c r="A10" s="13" t="s">
        <v>94</v>
      </c>
      <c r="B10" s="14">
        <v>45301</v>
      </c>
      <c r="C10" s="15" t="s">
        <v>34</v>
      </c>
      <c r="D10" s="15" t="s">
        <v>47</v>
      </c>
      <c r="E10" s="15" t="s">
        <v>82</v>
      </c>
      <c r="F10" s="15" t="s">
        <v>83</v>
      </c>
      <c r="G10" s="15" t="s">
        <v>84</v>
      </c>
      <c r="H10" s="15" t="s">
        <v>39</v>
      </c>
      <c r="I10" s="15" t="s">
        <v>85</v>
      </c>
      <c r="J10" s="15" t="s">
        <v>66</v>
      </c>
      <c r="K10" s="15" t="s">
        <v>95</v>
      </c>
      <c r="L10" s="15">
        <v>1</v>
      </c>
      <c r="M10" s="16">
        <v>1.96</v>
      </c>
      <c r="N10" s="16">
        <v>1.96</v>
      </c>
      <c r="O10" s="16">
        <v>0.1</v>
      </c>
      <c r="P10" s="16">
        <v>1.86</v>
      </c>
      <c r="Q10" s="16">
        <v>0.68</v>
      </c>
      <c r="R10" s="16">
        <v>1.18</v>
      </c>
      <c r="S10" s="15" t="s">
        <v>54</v>
      </c>
      <c r="T10" s="15" t="s">
        <v>63</v>
      </c>
      <c r="U10" s="17">
        <v>5</v>
      </c>
    </row>
    <row r="11" spans="1:21" x14ac:dyDescent="0.8">
      <c r="A11" s="13" t="s">
        <v>96</v>
      </c>
      <c r="B11" s="14">
        <v>45303</v>
      </c>
      <c r="C11" s="15" t="s">
        <v>57</v>
      </c>
      <c r="D11" s="15" t="s">
        <v>35</v>
      </c>
      <c r="E11" s="15" t="s">
        <v>58</v>
      </c>
      <c r="F11" s="15" t="s">
        <v>59</v>
      </c>
      <c r="G11" s="15" t="s">
        <v>60</v>
      </c>
      <c r="H11" s="15" t="s">
        <v>39</v>
      </c>
      <c r="I11" s="15" t="s">
        <v>40</v>
      </c>
      <c r="J11" s="15" t="s">
        <v>78</v>
      </c>
      <c r="K11" s="15" t="s">
        <v>97</v>
      </c>
      <c r="L11" s="15">
        <v>2</v>
      </c>
      <c r="M11" s="16">
        <v>3.27</v>
      </c>
      <c r="N11" s="16">
        <v>6.54</v>
      </c>
      <c r="O11" s="16">
        <v>0</v>
      </c>
      <c r="P11" s="16">
        <v>6.54</v>
      </c>
      <c r="Q11" s="16">
        <v>2.89</v>
      </c>
      <c r="R11" s="16">
        <v>3.65</v>
      </c>
      <c r="S11" s="15" t="s">
        <v>93</v>
      </c>
      <c r="T11" s="15" t="s">
        <v>55</v>
      </c>
      <c r="U11" s="17">
        <v>5</v>
      </c>
    </row>
    <row r="12" spans="1:21" x14ac:dyDescent="0.8">
      <c r="A12" s="13" t="s">
        <v>98</v>
      </c>
      <c r="B12" s="14">
        <v>45305</v>
      </c>
      <c r="C12" s="15" t="s">
        <v>99</v>
      </c>
      <c r="D12" s="15" t="s">
        <v>65</v>
      </c>
      <c r="E12" s="15" t="s">
        <v>76</v>
      </c>
      <c r="F12" s="15" t="s">
        <v>77</v>
      </c>
      <c r="G12" s="15" t="s">
        <v>38</v>
      </c>
      <c r="H12" s="15" t="s">
        <v>39</v>
      </c>
      <c r="I12" s="15" t="s">
        <v>40</v>
      </c>
      <c r="J12" s="15" t="s">
        <v>100</v>
      </c>
      <c r="K12" s="15" t="s">
        <v>101</v>
      </c>
      <c r="L12" s="15">
        <v>3</v>
      </c>
      <c r="M12" s="16">
        <v>3.44</v>
      </c>
      <c r="N12" s="16">
        <v>10.32</v>
      </c>
      <c r="O12" s="16">
        <v>0</v>
      </c>
      <c r="P12" s="16">
        <v>10.32</v>
      </c>
      <c r="Q12" s="16">
        <v>3.97</v>
      </c>
      <c r="R12" s="16">
        <v>6.35</v>
      </c>
      <c r="S12" s="15" t="s">
        <v>102</v>
      </c>
      <c r="T12" s="15" t="s">
        <v>44</v>
      </c>
      <c r="U12" s="17">
        <v>4</v>
      </c>
    </row>
    <row r="13" spans="1:21" x14ac:dyDescent="0.8">
      <c r="A13" s="13" t="s">
        <v>103</v>
      </c>
      <c r="B13" s="14">
        <v>45306</v>
      </c>
      <c r="C13" s="15" t="s">
        <v>75</v>
      </c>
      <c r="D13" s="15" t="s">
        <v>47</v>
      </c>
      <c r="E13" s="15" t="s">
        <v>104</v>
      </c>
      <c r="F13" s="15" t="s">
        <v>105</v>
      </c>
      <c r="G13" s="15" t="s">
        <v>106</v>
      </c>
      <c r="H13" s="15" t="s">
        <v>39</v>
      </c>
      <c r="I13" s="15" t="s">
        <v>85</v>
      </c>
      <c r="J13" s="15" t="s">
        <v>66</v>
      </c>
      <c r="K13" s="15" t="s">
        <v>107</v>
      </c>
      <c r="L13" s="15">
        <v>1</v>
      </c>
      <c r="M13" s="16">
        <v>3.76</v>
      </c>
      <c r="N13" s="16">
        <v>3.76</v>
      </c>
      <c r="O13" s="16">
        <v>0</v>
      </c>
      <c r="P13" s="16">
        <v>3.76</v>
      </c>
      <c r="Q13" s="16">
        <v>1.72</v>
      </c>
      <c r="R13" s="16">
        <v>2.04</v>
      </c>
      <c r="S13" s="15" t="s">
        <v>43</v>
      </c>
      <c r="T13" s="15" t="s">
        <v>73</v>
      </c>
      <c r="U13" s="17">
        <v>3</v>
      </c>
    </row>
    <row r="14" spans="1:21" x14ac:dyDescent="0.8">
      <c r="A14" s="13" t="s">
        <v>108</v>
      </c>
      <c r="B14" s="14">
        <v>45307</v>
      </c>
      <c r="C14" s="15" t="s">
        <v>81</v>
      </c>
      <c r="D14" s="15" t="s">
        <v>35</v>
      </c>
      <c r="E14" s="15" t="s">
        <v>82</v>
      </c>
      <c r="F14" s="15" t="s">
        <v>83</v>
      </c>
      <c r="G14" s="15" t="s">
        <v>84</v>
      </c>
      <c r="H14" s="15" t="s">
        <v>39</v>
      </c>
      <c r="I14" s="15" t="s">
        <v>85</v>
      </c>
      <c r="J14" s="15" t="s">
        <v>41</v>
      </c>
      <c r="K14" s="15" t="s">
        <v>109</v>
      </c>
      <c r="L14" s="15">
        <v>2</v>
      </c>
      <c r="M14" s="16">
        <v>2.42</v>
      </c>
      <c r="N14" s="16">
        <v>4.84</v>
      </c>
      <c r="O14" s="16">
        <v>0</v>
      </c>
      <c r="P14" s="16">
        <v>4.84</v>
      </c>
      <c r="Q14" s="16">
        <v>2.3199999999999998</v>
      </c>
      <c r="R14" s="16">
        <v>2.52</v>
      </c>
      <c r="S14" s="15" t="s">
        <v>43</v>
      </c>
      <c r="T14" s="15" t="s">
        <v>63</v>
      </c>
      <c r="U14" s="17">
        <v>4</v>
      </c>
    </row>
    <row r="15" spans="1:21" x14ac:dyDescent="0.8">
      <c r="A15" s="13" t="s">
        <v>110</v>
      </c>
      <c r="B15" s="14">
        <v>45309</v>
      </c>
      <c r="C15" s="15" t="s">
        <v>46</v>
      </c>
      <c r="D15" s="15" t="s">
        <v>65</v>
      </c>
      <c r="E15" s="15" t="s">
        <v>76</v>
      </c>
      <c r="F15" s="15" t="s">
        <v>77</v>
      </c>
      <c r="G15" s="15" t="s">
        <v>38</v>
      </c>
      <c r="H15" s="15" t="s">
        <v>39</v>
      </c>
      <c r="I15" s="15" t="s">
        <v>40</v>
      </c>
      <c r="J15" s="15" t="s">
        <v>100</v>
      </c>
      <c r="K15" s="15" t="s">
        <v>111</v>
      </c>
      <c r="L15" s="15">
        <v>3</v>
      </c>
      <c r="M15" s="16">
        <v>5.94</v>
      </c>
      <c r="N15" s="16">
        <v>17.82</v>
      </c>
      <c r="O15" s="16">
        <v>0</v>
      </c>
      <c r="P15" s="16">
        <v>17.82</v>
      </c>
      <c r="Q15" s="16">
        <v>8.26</v>
      </c>
      <c r="R15" s="16">
        <v>9.56</v>
      </c>
      <c r="S15" s="15" t="s">
        <v>43</v>
      </c>
      <c r="T15" s="15" t="s">
        <v>44</v>
      </c>
      <c r="U15" s="17">
        <v>4</v>
      </c>
    </row>
    <row r="16" spans="1:21" x14ac:dyDescent="0.8">
      <c r="A16" s="13" t="s">
        <v>112</v>
      </c>
      <c r="B16" s="14">
        <v>45311</v>
      </c>
      <c r="C16" s="15" t="s">
        <v>69</v>
      </c>
      <c r="D16" s="15" t="s">
        <v>35</v>
      </c>
      <c r="E16" s="15" t="s">
        <v>76</v>
      </c>
      <c r="F16" s="15" t="s">
        <v>77</v>
      </c>
      <c r="G16" s="15" t="s">
        <v>38</v>
      </c>
      <c r="H16" s="15" t="s">
        <v>39</v>
      </c>
      <c r="I16" s="15" t="s">
        <v>40</v>
      </c>
      <c r="J16" s="15" t="s">
        <v>78</v>
      </c>
      <c r="K16" s="15" t="s">
        <v>79</v>
      </c>
      <c r="L16" s="15">
        <v>4</v>
      </c>
      <c r="M16" s="16">
        <v>3.39</v>
      </c>
      <c r="N16" s="16">
        <v>13.56</v>
      </c>
      <c r="O16" s="16">
        <v>1.36</v>
      </c>
      <c r="P16" s="16">
        <v>12.2</v>
      </c>
      <c r="Q16" s="16">
        <v>6.19</v>
      </c>
      <c r="R16" s="16">
        <v>6.01</v>
      </c>
      <c r="S16" s="15" t="s">
        <v>93</v>
      </c>
      <c r="T16" s="15" t="s">
        <v>73</v>
      </c>
      <c r="U16" s="17">
        <v>5</v>
      </c>
    </row>
    <row r="17" spans="1:21" x14ac:dyDescent="0.8">
      <c r="A17" s="13" t="s">
        <v>113</v>
      </c>
      <c r="B17" s="14">
        <v>45313</v>
      </c>
      <c r="C17" s="15" t="s">
        <v>75</v>
      </c>
      <c r="D17" s="15" t="s">
        <v>70</v>
      </c>
      <c r="E17" s="15" t="s">
        <v>114</v>
      </c>
      <c r="F17" s="15" t="s">
        <v>115</v>
      </c>
      <c r="G17" s="15" t="s">
        <v>116</v>
      </c>
      <c r="H17" s="15" t="s">
        <v>39</v>
      </c>
      <c r="I17" s="15" t="s">
        <v>51</v>
      </c>
      <c r="J17" s="15" t="s">
        <v>100</v>
      </c>
      <c r="K17" s="15" t="s">
        <v>117</v>
      </c>
      <c r="L17" s="15">
        <v>4</v>
      </c>
      <c r="M17" s="16">
        <v>3.36</v>
      </c>
      <c r="N17" s="16">
        <v>13.44</v>
      </c>
      <c r="O17" s="16">
        <v>0.67</v>
      </c>
      <c r="P17" s="16">
        <v>12.77</v>
      </c>
      <c r="Q17" s="16">
        <v>5.93</v>
      </c>
      <c r="R17" s="16">
        <v>6.84</v>
      </c>
      <c r="S17" s="15" t="s">
        <v>54</v>
      </c>
      <c r="T17" s="15" t="s">
        <v>73</v>
      </c>
      <c r="U17" s="17">
        <v>4</v>
      </c>
    </row>
    <row r="18" spans="1:21" x14ac:dyDescent="0.8">
      <c r="A18" s="13" t="s">
        <v>118</v>
      </c>
      <c r="B18" s="14">
        <v>45314</v>
      </c>
      <c r="C18" s="15" t="s">
        <v>81</v>
      </c>
      <c r="D18" s="15" t="s">
        <v>47</v>
      </c>
      <c r="E18" s="15" t="s">
        <v>36</v>
      </c>
      <c r="F18" s="15" t="s">
        <v>37</v>
      </c>
      <c r="G18" s="15" t="s">
        <v>38</v>
      </c>
      <c r="H18" s="15" t="s">
        <v>39</v>
      </c>
      <c r="I18" s="15" t="s">
        <v>40</v>
      </c>
      <c r="J18" s="15" t="s">
        <v>61</v>
      </c>
      <c r="K18" s="15" t="s">
        <v>119</v>
      </c>
      <c r="L18" s="15">
        <v>3</v>
      </c>
      <c r="M18" s="16">
        <v>6.94</v>
      </c>
      <c r="N18" s="16">
        <v>20.82</v>
      </c>
      <c r="O18" s="16">
        <v>4.16</v>
      </c>
      <c r="P18" s="16">
        <v>16.66</v>
      </c>
      <c r="Q18" s="16">
        <v>6.11</v>
      </c>
      <c r="R18" s="16">
        <v>10.55</v>
      </c>
      <c r="S18" s="15" t="s">
        <v>102</v>
      </c>
      <c r="T18" s="15" t="s">
        <v>87</v>
      </c>
      <c r="U18" s="17">
        <v>5</v>
      </c>
    </row>
    <row r="19" spans="1:21" x14ac:dyDescent="0.8">
      <c r="A19" s="13" t="s">
        <v>120</v>
      </c>
      <c r="B19" s="14">
        <v>45317</v>
      </c>
      <c r="C19" s="15" t="s">
        <v>57</v>
      </c>
      <c r="D19" s="15" t="s">
        <v>47</v>
      </c>
      <c r="E19" s="15" t="s">
        <v>76</v>
      </c>
      <c r="F19" s="15" t="s">
        <v>77</v>
      </c>
      <c r="G19" s="15" t="s">
        <v>38</v>
      </c>
      <c r="H19" s="15" t="s">
        <v>39</v>
      </c>
      <c r="I19" s="15" t="s">
        <v>40</v>
      </c>
      <c r="J19" s="15" t="s">
        <v>61</v>
      </c>
      <c r="K19" s="15" t="s">
        <v>121</v>
      </c>
      <c r="L19" s="15">
        <v>4</v>
      </c>
      <c r="M19" s="16">
        <v>9.57</v>
      </c>
      <c r="N19" s="16">
        <v>38.28</v>
      </c>
      <c r="O19" s="16">
        <v>1.91</v>
      </c>
      <c r="P19" s="16">
        <v>36.369999999999997</v>
      </c>
      <c r="Q19" s="16">
        <v>14.69</v>
      </c>
      <c r="R19" s="16">
        <v>21.68</v>
      </c>
      <c r="S19" s="15" t="s">
        <v>72</v>
      </c>
      <c r="T19" s="15" t="s">
        <v>87</v>
      </c>
      <c r="U19" s="17">
        <v>5</v>
      </c>
    </row>
    <row r="20" spans="1:21" x14ac:dyDescent="0.8">
      <c r="A20" s="13" t="s">
        <v>122</v>
      </c>
      <c r="B20" s="14">
        <v>45318</v>
      </c>
      <c r="C20" s="15" t="s">
        <v>69</v>
      </c>
      <c r="D20" s="15" t="s">
        <v>65</v>
      </c>
      <c r="E20" s="15" t="s">
        <v>82</v>
      </c>
      <c r="F20" s="15" t="s">
        <v>83</v>
      </c>
      <c r="G20" s="15" t="s">
        <v>84</v>
      </c>
      <c r="H20" s="15" t="s">
        <v>39</v>
      </c>
      <c r="I20" s="15" t="s">
        <v>85</v>
      </c>
      <c r="J20" s="15" t="s">
        <v>52</v>
      </c>
      <c r="K20" s="15" t="s">
        <v>53</v>
      </c>
      <c r="L20" s="15">
        <v>3</v>
      </c>
      <c r="M20" s="16">
        <v>2.42</v>
      </c>
      <c r="N20" s="16">
        <v>7.26</v>
      </c>
      <c r="O20" s="16">
        <v>0</v>
      </c>
      <c r="P20" s="16">
        <v>7.26</v>
      </c>
      <c r="Q20" s="16">
        <v>2.73</v>
      </c>
      <c r="R20" s="16">
        <v>4.53</v>
      </c>
      <c r="S20" s="15" t="s">
        <v>123</v>
      </c>
      <c r="T20" s="15" t="s">
        <v>44</v>
      </c>
      <c r="U20" s="17">
        <v>4</v>
      </c>
    </row>
    <row r="21" spans="1:21" x14ac:dyDescent="0.8">
      <c r="A21" s="13" t="s">
        <v>124</v>
      </c>
      <c r="B21" s="14">
        <v>45318</v>
      </c>
      <c r="C21" s="15" t="s">
        <v>69</v>
      </c>
      <c r="D21" s="15" t="s">
        <v>35</v>
      </c>
      <c r="E21" s="15" t="s">
        <v>76</v>
      </c>
      <c r="F21" s="15" t="s">
        <v>77</v>
      </c>
      <c r="G21" s="15" t="s">
        <v>38</v>
      </c>
      <c r="H21" s="15" t="s">
        <v>39</v>
      </c>
      <c r="I21" s="15" t="s">
        <v>40</v>
      </c>
      <c r="J21" s="15" t="s">
        <v>41</v>
      </c>
      <c r="K21" s="15" t="s">
        <v>125</v>
      </c>
      <c r="L21" s="15">
        <v>5</v>
      </c>
      <c r="M21" s="16">
        <v>2.87</v>
      </c>
      <c r="N21" s="16">
        <v>14.35</v>
      </c>
      <c r="O21" s="16">
        <v>0</v>
      </c>
      <c r="P21" s="16">
        <v>14.35</v>
      </c>
      <c r="Q21" s="16">
        <v>6.36</v>
      </c>
      <c r="R21" s="16">
        <v>7.99</v>
      </c>
      <c r="S21" s="15" t="s">
        <v>123</v>
      </c>
      <c r="T21" s="15" t="s">
        <v>55</v>
      </c>
      <c r="U21" s="17">
        <v>3</v>
      </c>
    </row>
    <row r="22" spans="1:21" x14ac:dyDescent="0.8">
      <c r="A22" s="13" t="s">
        <v>126</v>
      </c>
      <c r="B22" s="14">
        <v>45318</v>
      </c>
      <c r="C22" s="15" t="s">
        <v>69</v>
      </c>
      <c r="D22" s="15" t="s">
        <v>65</v>
      </c>
      <c r="E22" s="15" t="s">
        <v>36</v>
      </c>
      <c r="F22" s="15" t="s">
        <v>37</v>
      </c>
      <c r="G22" s="15" t="s">
        <v>38</v>
      </c>
      <c r="H22" s="15" t="s">
        <v>39</v>
      </c>
      <c r="I22" s="15" t="s">
        <v>40</v>
      </c>
      <c r="J22" s="15" t="s">
        <v>66</v>
      </c>
      <c r="K22" s="15" t="s">
        <v>67</v>
      </c>
      <c r="L22" s="15">
        <v>1</v>
      </c>
      <c r="M22" s="16">
        <v>0.99</v>
      </c>
      <c r="N22" s="16">
        <v>0.99</v>
      </c>
      <c r="O22" s="16">
        <v>0.15</v>
      </c>
      <c r="P22" s="16">
        <v>0.84</v>
      </c>
      <c r="Q22" s="16">
        <v>0.38</v>
      </c>
      <c r="R22" s="16">
        <v>0.46</v>
      </c>
      <c r="S22" s="15" t="s">
        <v>102</v>
      </c>
      <c r="T22" s="15" t="s">
        <v>73</v>
      </c>
      <c r="U22" s="17">
        <v>5</v>
      </c>
    </row>
    <row r="23" spans="1:21" x14ac:dyDescent="0.8">
      <c r="A23" s="13" t="s">
        <v>127</v>
      </c>
      <c r="B23" s="14">
        <v>45318</v>
      </c>
      <c r="C23" s="15" t="s">
        <v>69</v>
      </c>
      <c r="D23" s="15" t="s">
        <v>35</v>
      </c>
      <c r="E23" s="15" t="s">
        <v>48</v>
      </c>
      <c r="F23" s="15" t="s">
        <v>49</v>
      </c>
      <c r="G23" s="15" t="s">
        <v>50</v>
      </c>
      <c r="H23" s="15" t="s">
        <v>39</v>
      </c>
      <c r="I23" s="15" t="s">
        <v>51</v>
      </c>
      <c r="J23" s="15" t="s">
        <v>66</v>
      </c>
      <c r="K23" s="15" t="s">
        <v>67</v>
      </c>
      <c r="L23" s="15">
        <v>4</v>
      </c>
      <c r="M23" s="16">
        <v>1.01</v>
      </c>
      <c r="N23" s="16">
        <v>4.04</v>
      </c>
      <c r="O23" s="16">
        <v>0.2</v>
      </c>
      <c r="P23" s="16">
        <v>3.84</v>
      </c>
      <c r="Q23" s="16">
        <v>1.44</v>
      </c>
      <c r="R23" s="16">
        <v>2.4</v>
      </c>
      <c r="S23" s="15" t="s">
        <v>102</v>
      </c>
      <c r="T23" s="15" t="s">
        <v>44</v>
      </c>
      <c r="U23" s="17">
        <v>4</v>
      </c>
    </row>
    <row r="24" spans="1:21" x14ac:dyDescent="0.8">
      <c r="A24" s="13" t="s">
        <v>128</v>
      </c>
      <c r="B24" s="14">
        <v>45320</v>
      </c>
      <c r="C24" s="15" t="s">
        <v>75</v>
      </c>
      <c r="D24" s="15" t="s">
        <v>47</v>
      </c>
      <c r="E24" s="15" t="s">
        <v>82</v>
      </c>
      <c r="F24" s="15" t="s">
        <v>83</v>
      </c>
      <c r="G24" s="15" t="s">
        <v>84</v>
      </c>
      <c r="H24" s="15" t="s">
        <v>39</v>
      </c>
      <c r="I24" s="15" t="s">
        <v>85</v>
      </c>
      <c r="J24" s="15" t="s">
        <v>61</v>
      </c>
      <c r="K24" s="15" t="s">
        <v>121</v>
      </c>
      <c r="L24" s="15">
        <v>1</v>
      </c>
      <c r="M24" s="16">
        <v>9.3000000000000007</v>
      </c>
      <c r="N24" s="16">
        <v>9.3000000000000007</v>
      </c>
      <c r="O24" s="16">
        <v>1.4</v>
      </c>
      <c r="P24" s="16">
        <v>7.9</v>
      </c>
      <c r="Q24" s="16">
        <v>3.12</v>
      </c>
      <c r="R24" s="16">
        <v>4.78</v>
      </c>
      <c r="S24" s="15" t="s">
        <v>43</v>
      </c>
      <c r="T24" s="15" t="s">
        <v>55</v>
      </c>
      <c r="U24" s="17">
        <v>4</v>
      </c>
    </row>
    <row r="25" spans="1:21" x14ac:dyDescent="0.8">
      <c r="A25" s="13" t="s">
        <v>129</v>
      </c>
      <c r="B25" s="14">
        <v>45321</v>
      </c>
      <c r="C25" s="15" t="s">
        <v>81</v>
      </c>
      <c r="D25" s="15" t="s">
        <v>65</v>
      </c>
      <c r="E25" s="15" t="s">
        <v>82</v>
      </c>
      <c r="F25" s="15" t="s">
        <v>83</v>
      </c>
      <c r="G25" s="15" t="s">
        <v>84</v>
      </c>
      <c r="H25" s="15" t="s">
        <v>39</v>
      </c>
      <c r="I25" s="15" t="s">
        <v>85</v>
      </c>
      <c r="J25" s="15" t="s">
        <v>52</v>
      </c>
      <c r="K25" s="15" t="s">
        <v>53</v>
      </c>
      <c r="L25" s="15">
        <v>1</v>
      </c>
      <c r="M25" s="16">
        <v>2.5299999999999998</v>
      </c>
      <c r="N25" s="16">
        <v>2.5299999999999998</v>
      </c>
      <c r="O25" s="16">
        <v>0.13</v>
      </c>
      <c r="P25" s="16">
        <v>2.4</v>
      </c>
      <c r="Q25" s="16">
        <v>1.3</v>
      </c>
      <c r="R25" s="16">
        <v>1.1000000000000001</v>
      </c>
      <c r="S25" s="15" t="s">
        <v>93</v>
      </c>
      <c r="T25" s="15" t="s">
        <v>87</v>
      </c>
      <c r="U25" s="17">
        <v>5</v>
      </c>
    </row>
    <row r="26" spans="1:21" x14ac:dyDescent="0.8">
      <c r="A26" s="13" t="s">
        <v>130</v>
      </c>
      <c r="B26" s="14">
        <v>45322</v>
      </c>
      <c r="C26" s="15" t="s">
        <v>34</v>
      </c>
      <c r="D26" s="15" t="s">
        <v>47</v>
      </c>
      <c r="E26" s="15" t="s">
        <v>131</v>
      </c>
      <c r="F26" s="15" t="s">
        <v>132</v>
      </c>
      <c r="G26" s="15" t="s">
        <v>133</v>
      </c>
      <c r="H26" s="15" t="s">
        <v>39</v>
      </c>
      <c r="I26" s="15" t="s">
        <v>134</v>
      </c>
      <c r="J26" s="15" t="s">
        <v>52</v>
      </c>
      <c r="K26" s="15" t="s">
        <v>135</v>
      </c>
      <c r="L26" s="15">
        <v>4</v>
      </c>
      <c r="M26" s="16">
        <v>1.96</v>
      </c>
      <c r="N26" s="16">
        <v>7.84</v>
      </c>
      <c r="O26" s="16">
        <v>0</v>
      </c>
      <c r="P26" s="16">
        <v>7.84</v>
      </c>
      <c r="Q26" s="16">
        <v>3.78</v>
      </c>
      <c r="R26" s="16">
        <v>4.0599999999999996</v>
      </c>
      <c r="S26" s="15" t="s">
        <v>93</v>
      </c>
      <c r="T26" s="15" t="s">
        <v>44</v>
      </c>
      <c r="U26" s="17">
        <v>4</v>
      </c>
    </row>
    <row r="27" spans="1:21" x14ac:dyDescent="0.8">
      <c r="A27" s="13" t="s">
        <v>136</v>
      </c>
      <c r="B27" s="14">
        <v>45323</v>
      </c>
      <c r="C27" s="15" t="s">
        <v>46</v>
      </c>
      <c r="D27" s="15" t="s">
        <v>35</v>
      </c>
      <c r="E27" s="15" t="s">
        <v>114</v>
      </c>
      <c r="F27" s="15" t="s">
        <v>115</v>
      </c>
      <c r="G27" s="15" t="s">
        <v>116</v>
      </c>
      <c r="H27" s="15" t="s">
        <v>39</v>
      </c>
      <c r="I27" s="15" t="s">
        <v>51</v>
      </c>
      <c r="J27" s="15" t="s">
        <v>61</v>
      </c>
      <c r="K27" s="15" t="s">
        <v>119</v>
      </c>
      <c r="L27" s="15">
        <v>5</v>
      </c>
      <c r="M27" s="16">
        <v>7.07</v>
      </c>
      <c r="N27" s="16">
        <v>35.35</v>
      </c>
      <c r="O27" s="16">
        <v>5.3</v>
      </c>
      <c r="P27" s="16">
        <v>30.05</v>
      </c>
      <c r="Q27" s="16">
        <v>13.96</v>
      </c>
      <c r="R27" s="16">
        <v>16.09</v>
      </c>
      <c r="S27" s="15" t="s">
        <v>93</v>
      </c>
      <c r="T27" s="15" t="s">
        <v>63</v>
      </c>
      <c r="U27" s="17">
        <v>2</v>
      </c>
    </row>
    <row r="28" spans="1:21" x14ac:dyDescent="0.8">
      <c r="A28" s="13" t="s">
        <v>137</v>
      </c>
      <c r="B28" s="14">
        <v>45324</v>
      </c>
      <c r="C28" s="15" t="s">
        <v>57</v>
      </c>
      <c r="D28" s="15" t="s">
        <v>47</v>
      </c>
      <c r="E28" s="15" t="s">
        <v>114</v>
      </c>
      <c r="F28" s="15" t="s">
        <v>115</v>
      </c>
      <c r="G28" s="15" t="s">
        <v>116</v>
      </c>
      <c r="H28" s="15" t="s">
        <v>39</v>
      </c>
      <c r="I28" s="15" t="s">
        <v>51</v>
      </c>
      <c r="J28" s="15" t="s">
        <v>78</v>
      </c>
      <c r="K28" s="15" t="s">
        <v>138</v>
      </c>
      <c r="L28" s="15">
        <v>2</v>
      </c>
      <c r="M28" s="16">
        <v>4.47</v>
      </c>
      <c r="N28" s="16">
        <v>8.94</v>
      </c>
      <c r="O28" s="16">
        <v>0</v>
      </c>
      <c r="P28" s="16">
        <v>8.94</v>
      </c>
      <c r="Q28" s="16">
        <v>3.88</v>
      </c>
      <c r="R28" s="16">
        <v>5.0599999999999996</v>
      </c>
      <c r="S28" s="15" t="s">
        <v>43</v>
      </c>
      <c r="T28" s="15" t="s">
        <v>73</v>
      </c>
      <c r="U28" s="17">
        <v>5</v>
      </c>
    </row>
    <row r="29" spans="1:21" x14ac:dyDescent="0.8">
      <c r="A29" s="13" t="s">
        <v>139</v>
      </c>
      <c r="B29" s="14">
        <v>45324</v>
      </c>
      <c r="C29" s="15" t="s">
        <v>57</v>
      </c>
      <c r="D29" s="15" t="s">
        <v>70</v>
      </c>
      <c r="E29" s="15" t="s">
        <v>89</v>
      </c>
      <c r="F29" s="15" t="s">
        <v>90</v>
      </c>
      <c r="G29" s="15" t="s">
        <v>91</v>
      </c>
      <c r="H29" s="15" t="s">
        <v>39</v>
      </c>
      <c r="I29" s="15" t="s">
        <v>92</v>
      </c>
      <c r="J29" s="15" t="s">
        <v>78</v>
      </c>
      <c r="K29" s="15" t="s">
        <v>79</v>
      </c>
      <c r="L29" s="15">
        <v>5</v>
      </c>
      <c r="M29" s="16">
        <v>3.56</v>
      </c>
      <c r="N29" s="16">
        <v>17.8</v>
      </c>
      <c r="O29" s="16">
        <v>0</v>
      </c>
      <c r="P29" s="16">
        <v>17.8</v>
      </c>
      <c r="Q29" s="16">
        <v>7.38</v>
      </c>
      <c r="R29" s="16">
        <v>10.42</v>
      </c>
      <c r="S29" s="15" t="s">
        <v>123</v>
      </c>
      <c r="T29" s="15" t="s">
        <v>55</v>
      </c>
      <c r="U29" s="17">
        <v>4</v>
      </c>
    </row>
    <row r="30" spans="1:21" x14ac:dyDescent="0.8">
      <c r="A30" s="13" t="s">
        <v>140</v>
      </c>
      <c r="B30" s="14">
        <v>45325</v>
      </c>
      <c r="C30" s="15" t="s">
        <v>69</v>
      </c>
      <c r="D30" s="15" t="s">
        <v>47</v>
      </c>
      <c r="E30" s="15" t="s">
        <v>58</v>
      </c>
      <c r="F30" s="15" t="s">
        <v>59</v>
      </c>
      <c r="G30" s="15" t="s">
        <v>60</v>
      </c>
      <c r="H30" s="15" t="s">
        <v>39</v>
      </c>
      <c r="I30" s="15" t="s">
        <v>40</v>
      </c>
      <c r="J30" s="15" t="s">
        <v>78</v>
      </c>
      <c r="K30" s="15" t="s">
        <v>141</v>
      </c>
      <c r="L30" s="15">
        <v>2</v>
      </c>
      <c r="M30" s="16">
        <v>6.59</v>
      </c>
      <c r="N30" s="16">
        <v>13.18</v>
      </c>
      <c r="O30" s="16">
        <v>1.32</v>
      </c>
      <c r="P30" s="16">
        <v>11.86</v>
      </c>
      <c r="Q30" s="16">
        <v>4.33</v>
      </c>
      <c r="R30" s="16">
        <v>7.53</v>
      </c>
      <c r="S30" s="15" t="s">
        <v>123</v>
      </c>
      <c r="T30" s="15" t="s">
        <v>73</v>
      </c>
      <c r="U30" s="17">
        <v>4</v>
      </c>
    </row>
    <row r="31" spans="1:21" x14ac:dyDescent="0.8">
      <c r="A31" s="13" t="s">
        <v>142</v>
      </c>
      <c r="B31" s="14">
        <v>45325</v>
      </c>
      <c r="C31" s="15" t="s">
        <v>69</v>
      </c>
      <c r="D31" s="15" t="s">
        <v>35</v>
      </c>
      <c r="E31" s="15" t="s">
        <v>114</v>
      </c>
      <c r="F31" s="15" t="s">
        <v>115</v>
      </c>
      <c r="G31" s="15" t="s">
        <v>116</v>
      </c>
      <c r="H31" s="15" t="s">
        <v>39</v>
      </c>
      <c r="I31" s="15" t="s">
        <v>51</v>
      </c>
      <c r="J31" s="15" t="s">
        <v>78</v>
      </c>
      <c r="K31" s="15" t="s">
        <v>143</v>
      </c>
      <c r="L31" s="15">
        <v>2</v>
      </c>
      <c r="M31" s="16">
        <v>2.82</v>
      </c>
      <c r="N31" s="16">
        <v>5.64</v>
      </c>
      <c r="O31" s="16">
        <v>0</v>
      </c>
      <c r="P31" s="16">
        <v>5.64</v>
      </c>
      <c r="Q31" s="16">
        <v>2.89</v>
      </c>
      <c r="R31" s="16">
        <v>2.75</v>
      </c>
      <c r="S31" s="15" t="s">
        <v>123</v>
      </c>
      <c r="T31" s="15" t="s">
        <v>144</v>
      </c>
      <c r="U31" s="17">
        <v>3</v>
      </c>
    </row>
    <row r="32" spans="1:21" x14ac:dyDescent="0.8">
      <c r="A32" s="13" t="s">
        <v>145</v>
      </c>
      <c r="B32" s="14">
        <v>45327</v>
      </c>
      <c r="C32" s="15" t="s">
        <v>75</v>
      </c>
      <c r="D32" s="15" t="s">
        <v>35</v>
      </c>
      <c r="E32" s="15" t="s">
        <v>76</v>
      </c>
      <c r="F32" s="15" t="s">
        <v>77</v>
      </c>
      <c r="G32" s="15" t="s">
        <v>38</v>
      </c>
      <c r="H32" s="15" t="s">
        <v>39</v>
      </c>
      <c r="I32" s="15" t="s">
        <v>40</v>
      </c>
      <c r="J32" s="15" t="s">
        <v>52</v>
      </c>
      <c r="K32" s="15" t="s">
        <v>135</v>
      </c>
      <c r="L32" s="15">
        <v>1</v>
      </c>
      <c r="M32" s="16">
        <v>1.99</v>
      </c>
      <c r="N32" s="16">
        <v>1.99</v>
      </c>
      <c r="O32" s="16">
        <v>0</v>
      </c>
      <c r="P32" s="16">
        <v>1.99</v>
      </c>
      <c r="Q32" s="16">
        <v>0.88</v>
      </c>
      <c r="R32" s="16">
        <v>1.1100000000000001</v>
      </c>
      <c r="S32" s="15" t="s">
        <v>93</v>
      </c>
      <c r="T32" s="15" t="s">
        <v>55</v>
      </c>
      <c r="U32" s="17">
        <v>5</v>
      </c>
    </row>
    <row r="33" spans="1:21" x14ac:dyDescent="0.8">
      <c r="A33" s="13" t="s">
        <v>146</v>
      </c>
      <c r="B33" s="14">
        <v>45328</v>
      </c>
      <c r="C33" s="15" t="s">
        <v>81</v>
      </c>
      <c r="D33" s="15" t="s">
        <v>35</v>
      </c>
      <c r="E33" s="15" t="s">
        <v>104</v>
      </c>
      <c r="F33" s="15" t="s">
        <v>105</v>
      </c>
      <c r="G33" s="15" t="s">
        <v>106</v>
      </c>
      <c r="H33" s="15" t="s">
        <v>39</v>
      </c>
      <c r="I33" s="15" t="s">
        <v>85</v>
      </c>
      <c r="J33" s="15" t="s">
        <v>41</v>
      </c>
      <c r="K33" s="15" t="s">
        <v>42</v>
      </c>
      <c r="L33" s="15">
        <v>2</v>
      </c>
      <c r="M33" s="16">
        <v>4.58</v>
      </c>
      <c r="N33" s="16">
        <v>9.16</v>
      </c>
      <c r="O33" s="16">
        <v>1.37</v>
      </c>
      <c r="P33" s="16">
        <v>7.79</v>
      </c>
      <c r="Q33" s="16">
        <v>3.41</v>
      </c>
      <c r="R33" s="16">
        <v>4.38</v>
      </c>
      <c r="S33" s="15" t="s">
        <v>72</v>
      </c>
      <c r="T33" s="15" t="s">
        <v>73</v>
      </c>
      <c r="U33" s="17">
        <v>5</v>
      </c>
    </row>
    <row r="34" spans="1:21" x14ac:dyDescent="0.8">
      <c r="A34" s="13" t="s">
        <v>147</v>
      </c>
      <c r="B34" s="14">
        <v>45328</v>
      </c>
      <c r="C34" s="15" t="s">
        <v>81</v>
      </c>
      <c r="D34" s="15" t="s">
        <v>47</v>
      </c>
      <c r="E34" s="15" t="s">
        <v>36</v>
      </c>
      <c r="F34" s="15" t="s">
        <v>37</v>
      </c>
      <c r="G34" s="15" t="s">
        <v>38</v>
      </c>
      <c r="H34" s="15" t="s">
        <v>39</v>
      </c>
      <c r="I34" s="15" t="s">
        <v>40</v>
      </c>
      <c r="J34" s="15" t="s">
        <v>78</v>
      </c>
      <c r="K34" s="15" t="s">
        <v>143</v>
      </c>
      <c r="L34" s="15">
        <v>3</v>
      </c>
      <c r="M34" s="16">
        <v>2.72</v>
      </c>
      <c r="N34" s="16">
        <v>8.16</v>
      </c>
      <c r="O34" s="16">
        <v>0</v>
      </c>
      <c r="P34" s="16">
        <v>8.16</v>
      </c>
      <c r="Q34" s="16">
        <v>4.29</v>
      </c>
      <c r="R34" s="16">
        <v>3.87</v>
      </c>
      <c r="S34" s="15" t="s">
        <v>93</v>
      </c>
      <c r="T34" s="15" t="s">
        <v>63</v>
      </c>
      <c r="U34" s="17">
        <v>5</v>
      </c>
    </row>
    <row r="35" spans="1:21" x14ac:dyDescent="0.8">
      <c r="A35" s="13" t="s">
        <v>148</v>
      </c>
      <c r="B35" s="14">
        <v>45329</v>
      </c>
      <c r="C35" s="15" t="s">
        <v>34</v>
      </c>
      <c r="D35" s="15" t="s">
        <v>65</v>
      </c>
      <c r="E35" s="15" t="s">
        <v>58</v>
      </c>
      <c r="F35" s="15" t="s">
        <v>59</v>
      </c>
      <c r="G35" s="15" t="s">
        <v>60</v>
      </c>
      <c r="H35" s="15" t="s">
        <v>39</v>
      </c>
      <c r="I35" s="15" t="s">
        <v>40</v>
      </c>
      <c r="J35" s="15" t="s">
        <v>78</v>
      </c>
      <c r="K35" s="15" t="s">
        <v>141</v>
      </c>
      <c r="L35" s="15">
        <v>1</v>
      </c>
      <c r="M35" s="16">
        <v>6.44</v>
      </c>
      <c r="N35" s="16">
        <v>6.44</v>
      </c>
      <c r="O35" s="16">
        <v>0</v>
      </c>
      <c r="P35" s="16">
        <v>6.44</v>
      </c>
      <c r="Q35" s="16">
        <v>3.08</v>
      </c>
      <c r="R35" s="16">
        <v>3.36</v>
      </c>
      <c r="S35" s="15" t="s">
        <v>102</v>
      </c>
      <c r="T35" s="15" t="s">
        <v>87</v>
      </c>
      <c r="U35" s="17">
        <v>4</v>
      </c>
    </row>
    <row r="36" spans="1:21" x14ac:dyDescent="0.8">
      <c r="A36" s="13" t="s">
        <v>149</v>
      </c>
      <c r="B36" s="14">
        <v>45330</v>
      </c>
      <c r="C36" s="15" t="s">
        <v>46</v>
      </c>
      <c r="D36" s="15" t="s">
        <v>70</v>
      </c>
      <c r="E36" s="15" t="s">
        <v>104</v>
      </c>
      <c r="F36" s="15" t="s">
        <v>105</v>
      </c>
      <c r="G36" s="15" t="s">
        <v>106</v>
      </c>
      <c r="H36" s="15" t="s">
        <v>39</v>
      </c>
      <c r="I36" s="15" t="s">
        <v>85</v>
      </c>
      <c r="J36" s="15" t="s">
        <v>100</v>
      </c>
      <c r="K36" s="15" t="s">
        <v>117</v>
      </c>
      <c r="L36" s="15">
        <v>1</v>
      </c>
      <c r="M36" s="16">
        <v>3.32</v>
      </c>
      <c r="N36" s="16">
        <v>3.32</v>
      </c>
      <c r="O36" s="16">
        <v>0</v>
      </c>
      <c r="P36" s="16">
        <v>3.32</v>
      </c>
      <c r="Q36" s="16">
        <v>1.26</v>
      </c>
      <c r="R36" s="16">
        <v>2.06</v>
      </c>
      <c r="S36" s="15" t="s">
        <v>93</v>
      </c>
      <c r="T36" s="15" t="s">
        <v>87</v>
      </c>
      <c r="U36" s="17">
        <v>4</v>
      </c>
    </row>
    <row r="37" spans="1:21" x14ac:dyDescent="0.8">
      <c r="A37" s="13" t="s">
        <v>150</v>
      </c>
      <c r="B37" s="14">
        <v>45330</v>
      </c>
      <c r="C37" s="15" t="s">
        <v>46</v>
      </c>
      <c r="D37" s="15" t="s">
        <v>35</v>
      </c>
      <c r="E37" s="15" t="s">
        <v>82</v>
      </c>
      <c r="F37" s="15" t="s">
        <v>83</v>
      </c>
      <c r="G37" s="15" t="s">
        <v>84</v>
      </c>
      <c r="H37" s="15" t="s">
        <v>39</v>
      </c>
      <c r="I37" s="15" t="s">
        <v>85</v>
      </c>
      <c r="J37" s="15" t="s">
        <v>66</v>
      </c>
      <c r="K37" s="15" t="s">
        <v>86</v>
      </c>
      <c r="L37" s="15">
        <v>2</v>
      </c>
      <c r="M37" s="16">
        <v>3.9</v>
      </c>
      <c r="N37" s="16">
        <v>7.8</v>
      </c>
      <c r="O37" s="16">
        <v>0</v>
      </c>
      <c r="P37" s="16">
        <v>7.8</v>
      </c>
      <c r="Q37" s="16">
        <v>2.81</v>
      </c>
      <c r="R37" s="16">
        <v>4.99</v>
      </c>
      <c r="S37" s="15" t="s">
        <v>93</v>
      </c>
      <c r="T37" s="15" t="s">
        <v>144</v>
      </c>
      <c r="U37" s="17">
        <v>4</v>
      </c>
    </row>
    <row r="38" spans="1:21" x14ac:dyDescent="0.8">
      <c r="A38" s="13" t="s">
        <v>151</v>
      </c>
      <c r="B38" s="14">
        <v>45330</v>
      </c>
      <c r="C38" s="15" t="s">
        <v>46</v>
      </c>
      <c r="D38" s="15" t="s">
        <v>70</v>
      </c>
      <c r="E38" s="15" t="s">
        <v>58</v>
      </c>
      <c r="F38" s="15" t="s">
        <v>59</v>
      </c>
      <c r="G38" s="15" t="s">
        <v>60</v>
      </c>
      <c r="H38" s="15" t="s">
        <v>39</v>
      </c>
      <c r="I38" s="15" t="s">
        <v>40</v>
      </c>
      <c r="J38" s="15" t="s">
        <v>61</v>
      </c>
      <c r="K38" s="15" t="s">
        <v>62</v>
      </c>
      <c r="L38" s="15">
        <v>1</v>
      </c>
      <c r="M38" s="16">
        <v>10.71</v>
      </c>
      <c r="N38" s="16">
        <v>10.71</v>
      </c>
      <c r="O38" s="16">
        <v>0</v>
      </c>
      <c r="P38" s="16">
        <v>10.71</v>
      </c>
      <c r="Q38" s="16">
        <v>4.1900000000000004</v>
      </c>
      <c r="R38" s="16">
        <v>6.52</v>
      </c>
      <c r="S38" s="15" t="s">
        <v>93</v>
      </c>
      <c r="T38" s="15" t="s">
        <v>73</v>
      </c>
      <c r="U38" s="17">
        <v>5</v>
      </c>
    </row>
    <row r="39" spans="1:21" x14ac:dyDescent="0.8">
      <c r="A39" s="13" t="s">
        <v>152</v>
      </c>
      <c r="B39" s="14">
        <v>45331</v>
      </c>
      <c r="C39" s="15" t="s">
        <v>57</v>
      </c>
      <c r="D39" s="15" t="s">
        <v>47</v>
      </c>
      <c r="E39" s="15" t="s">
        <v>58</v>
      </c>
      <c r="F39" s="15" t="s">
        <v>59</v>
      </c>
      <c r="G39" s="15" t="s">
        <v>60</v>
      </c>
      <c r="H39" s="15" t="s">
        <v>39</v>
      </c>
      <c r="I39" s="15" t="s">
        <v>40</v>
      </c>
      <c r="J39" s="15" t="s">
        <v>41</v>
      </c>
      <c r="K39" s="15" t="s">
        <v>42</v>
      </c>
      <c r="L39" s="15">
        <v>1</v>
      </c>
      <c r="M39" s="16">
        <v>4.5999999999999996</v>
      </c>
      <c r="N39" s="16">
        <v>4.5999999999999996</v>
      </c>
      <c r="O39" s="16">
        <v>0</v>
      </c>
      <c r="P39" s="16">
        <v>4.5999999999999996</v>
      </c>
      <c r="Q39" s="16">
        <v>1.75</v>
      </c>
      <c r="R39" s="16">
        <v>2.85</v>
      </c>
      <c r="S39" s="15" t="s">
        <v>72</v>
      </c>
      <c r="T39" s="15" t="s">
        <v>73</v>
      </c>
      <c r="U39" s="17">
        <v>5</v>
      </c>
    </row>
    <row r="40" spans="1:21" x14ac:dyDescent="0.8">
      <c r="A40" s="13" t="s">
        <v>153</v>
      </c>
      <c r="B40" s="14">
        <v>45332</v>
      </c>
      <c r="C40" s="15" t="s">
        <v>69</v>
      </c>
      <c r="D40" s="15" t="s">
        <v>70</v>
      </c>
      <c r="E40" s="15" t="s">
        <v>114</v>
      </c>
      <c r="F40" s="15" t="s">
        <v>115</v>
      </c>
      <c r="G40" s="15" t="s">
        <v>116</v>
      </c>
      <c r="H40" s="15" t="s">
        <v>39</v>
      </c>
      <c r="I40" s="15" t="s">
        <v>51</v>
      </c>
      <c r="J40" s="15" t="s">
        <v>41</v>
      </c>
      <c r="K40" s="15" t="s">
        <v>154</v>
      </c>
      <c r="L40" s="15">
        <v>1</v>
      </c>
      <c r="M40" s="16">
        <v>1.5</v>
      </c>
      <c r="N40" s="16">
        <v>1.5</v>
      </c>
      <c r="O40" s="16">
        <v>0</v>
      </c>
      <c r="P40" s="16">
        <v>1.5</v>
      </c>
      <c r="Q40" s="16">
        <v>0.74</v>
      </c>
      <c r="R40" s="16">
        <v>0.76</v>
      </c>
      <c r="S40" s="15" t="s">
        <v>102</v>
      </c>
      <c r="T40" s="15" t="s">
        <v>144</v>
      </c>
      <c r="U40" s="17">
        <v>4</v>
      </c>
    </row>
    <row r="41" spans="1:21" x14ac:dyDescent="0.8">
      <c r="A41" s="13" t="s">
        <v>155</v>
      </c>
      <c r="B41" s="14">
        <v>45332</v>
      </c>
      <c r="C41" s="15" t="s">
        <v>69</v>
      </c>
      <c r="D41" s="15" t="s">
        <v>47</v>
      </c>
      <c r="E41" s="15" t="s">
        <v>48</v>
      </c>
      <c r="F41" s="15" t="s">
        <v>49</v>
      </c>
      <c r="G41" s="15" t="s">
        <v>50</v>
      </c>
      <c r="H41" s="15" t="s">
        <v>39</v>
      </c>
      <c r="I41" s="15" t="s">
        <v>51</v>
      </c>
      <c r="J41" s="15" t="s">
        <v>66</v>
      </c>
      <c r="K41" s="15" t="s">
        <v>107</v>
      </c>
      <c r="L41" s="15">
        <v>2</v>
      </c>
      <c r="M41" s="16">
        <v>3.86</v>
      </c>
      <c r="N41" s="16">
        <v>7.72</v>
      </c>
      <c r="O41" s="16">
        <v>0</v>
      </c>
      <c r="P41" s="16">
        <v>7.72</v>
      </c>
      <c r="Q41" s="16">
        <v>3.28</v>
      </c>
      <c r="R41" s="16">
        <v>4.4400000000000004</v>
      </c>
      <c r="S41" s="15" t="s">
        <v>43</v>
      </c>
      <c r="T41" s="15" t="s">
        <v>87</v>
      </c>
      <c r="U41" s="17">
        <v>5</v>
      </c>
    </row>
    <row r="42" spans="1:21" x14ac:dyDescent="0.8">
      <c r="A42" s="13" t="s">
        <v>156</v>
      </c>
      <c r="B42" s="14">
        <v>45332</v>
      </c>
      <c r="C42" s="15" t="s">
        <v>69</v>
      </c>
      <c r="D42" s="15" t="s">
        <v>70</v>
      </c>
      <c r="E42" s="15" t="s">
        <v>131</v>
      </c>
      <c r="F42" s="15" t="s">
        <v>132</v>
      </c>
      <c r="G42" s="15" t="s">
        <v>133</v>
      </c>
      <c r="H42" s="15" t="s">
        <v>39</v>
      </c>
      <c r="I42" s="15" t="s">
        <v>134</v>
      </c>
      <c r="J42" s="15" t="s">
        <v>78</v>
      </c>
      <c r="K42" s="15" t="s">
        <v>97</v>
      </c>
      <c r="L42" s="15">
        <v>2</v>
      </c>
      <c r="M42" s="16">
        <v>3.29</v>
      </c>
      <c r="N42" s="16">
        <v>6.58</v>
      </c>
      <c r="O42" s="16">
        <v>0.33</v>
      </c>
      <c r="P42" s="16">
        <v>6.25</v>
      </c>
      <c r="Q42" s="16">
        <v>2.48</v>
      </c>
      <c r="R42" s="16">
        <v>3.77</v>
      </c>
      <c r="S42" s="15" t="s">
        <v>54</v>
      </c>
      <c r="T42" s="15" t="s">
        <v>55</v>
      </c>
      <c r="U42" s="17">
        <v>4</v>
      </c>
    </row>
    <row r="43" spans="1:21" x14ac:dyDescent="0.8">
      <c r="A43" s="13" t="s">
        <v>157</v>
      </c>
      <c r="B43" s="14">
        <v>45333</v>
      </c>
      <c r="C43" s="15" t="s">
        <v>99</v>
      </c>
      <c r="D43" s="15" t="s">
        <v>70</v>
      </c>
      <c r="E43" s="15" t="s">
        <v>104</v>
      </c>
      <c r="F43" s="15" t="s">
        <v>105</v>
      </c>
      <c r="G43" s="15" t="s">
        <v>106</v>
      </c>
      <c r="H43" s="15" t="s">
        <v>39</v>
      </c>
      <c r="I43" s="15" t="s">
        <v>85</v>
      </c>
      <c r="J43" s="15" t="s">
        <v>100</v>
      </c>
      <c r="K43" s="15" t="s">
        <v>117</v>
      </c>
      <c r="L43" s="15">
        <v>1</v>
      </c>
      <c r="M43" s="16">
        <v>3.3</v>
      </c>
      <c r="N43" s="16">
        <v>3.3</v>
      </c>
      <c r="O43" s="16">
        <v>0</v>
      </c>
      <c r="P43" s="16">
        <v>3.3</v>
      </c>
      <c r="Q43" s="16">
        <v>1.1599999999999999</v>
      </c>
      <c r="R43" s="16">
        <v>2.14</v>
      </c>
      <c r="S43" s="15" t="s">
        <v>93</v>
      </c>
      <c r="T43" s="15" t="s">
        <v>144</v>
      </c>
      <c r="U43" s="17">
        <v>5</v>
      </c>
    </row>
    <row r="44" spans="1:21" x14ac:dyDescent="0.8">
      <c r="A44" s="13" t="s">
        <v>158</v>
      </c>
      <c r="B44" s="14">
        <v>45333</v>
      </c>
      <c r="C44" s="15" t="s">
        <v>99</v>
      </c>
      <c r="D44" s="15" t="s">
        <v>35</v>
      </c>
      <c r="E44" s="15" t="s">
        <v>89</v>
      </c>
      <c r="F44" s="15" t="s">
        <v>90</v>
      </c>
      <c r="G44" s="15" t="s">
        <v>91</v>
      </c>
      <c r="H44" s="15" t="s">
        <v>39</v>
      </c>
      <c r="I44" s="15" t="s">
        <v>92</v>
      </c>
      <c r="J44" s="15" t="s">
        <v>78</v>
      </c>
      <c r="K44" s="15" t="s">
        <v>97</v>
      </c>
      <c r="L44" s="15">
        <v>3</v>
      </c>
      <c r="M44" s="16">
        <v>3.21</v>
      </c>
      <c r="N44" s="16">
        <v>9.6300000000000008</v>
      </c>
      <c r="O44" s="16">
        <v>0.48</v>
      </c>
      <c r="P44" s="16">
        <v>9.15</v>
      </c>
      <c r="Q44" s="16">
        <v>3.32</v>
      </c>
      <c r="R44" s="16">
        <v>5.83</v>
      </c>
      <c r="S44" s="15" t="s">
        <v>43</v>
      </c>
      <c r="T44" s="15" t="s">
        <v>87</v>
      </c>
      <c r="U44" s="17">
        <v>4</v>
      </c>
    </row>
    <row r="45" spans="1:21" x14ac:dyDescent="0.8">
      <c r="A45" s="13" t="s">
        <v>159</v>
      </c>
      <c r="B45" s="14">
        <v>45334</v>
      </c>
      <c r="C45" s="15" t="s">
        <v>75</v>
      </c>
      <c r="D45" s="15" t="s">
        <v>65</v>
      </c>
      <c r="E45" s="15" t="s">
        <v>114</v>
      </c>
      <c r="F45" s="15" t="s">
        <v>115</v>
      </c>
      <c r="G45" s="15" t="s">
        <v>116</v>
      </c>
      <c r="H45" s="15" t="s">
        <v>39</v>
      </c>
      <c r="I45" s="15" t="s">
        <v>51</v>
      </c>
      <c r="J45" s="15" t="s">
        <v>100</v>
      </c>
      <c r="K45" s="15" t="s">
        <v>117</v>
      </c>
      <c r="L45" s="15">
        <v>2</v>
      </c>
      <c r="M45" s="16">
        <v>3.35</v>
      </c>
      <c r="N45" s="16">
        <v>6.7</v>
      </c>
      <c r="O45" s="16">
        <v>0.34</v>
      </c>
      <c r="P45" s="16">
        <v>6.36</v>
      </c>
      <c r="Q45" s="16">
        <v>2.63</v>
      </c>
      <c r="R45" s="16">
        <v>3.73</v>
      </c>
      <c r="S45" s="15" t="s">
        <v>102</v>
      </c>
      <c r="T45" s="15" t="s">
        <v>55</v>
      </c>
      <c r="U45" s="17">
        <v>4</v>
      </c>
    </row>
    <row r="46" spans="1:21" x14ac:dyDescent="0.8">
      <c r="A46" s="13" t="s">
        <v>160</v>
      </c>
      <c r="B46" s="14">
        <v>45335</v>
      </c>
      <c r="C46" s="15" t="s">
        <v>81</v>
      </c>
      <c r="D46" s="15" t="s">
        <v>47</v>
      </c>
      <c r="E46" s="15" t="s">
        <v>131</v>
      </c>
      <c r="F46" s="15" t="s">
        <v>132</v>
      </c>
      <c r="G46" s="15" t="s">
        <v>133</v>
      </c>
      <c r="H46" s="15" t="s">
        <v>39</v>
      </c>
      <c r="I46" s="15" t="s">
        <v>134</v>
      </c>
      <c r="J46" s="15" t="s">
        <v>61</v>
      </c>
      <c r="K46" s="15" t="s">
        <v>161</v>
      </c>
      <c r="L46" s="15">
        <v>4</v>
      </c>
      <c r="M46" s="16">
        <v>10.71</v>
      </c>
      <c r="N46" s="16">
        <v>42.84</v>
      </c>
      <c r="O46" s="16">
        <v>8.57</v>
      </c>
      <c r="P46" s="16">
        <v>34.270000000000003</v>
      </c>
      <c r="Q46" s="16">
        <v>13.35</v>
      </c>
      <c r="R46" s="16">
        <v>20.92</v>
      </c>
      <c r="S46" s="15" t="s">
        <v>54</v>
      </c>
      <c r="T46" s="15" t="s">
        <v>63</v>
      </c>
      <c r="U46" s="17">
        <v>3</v>
      </c>
    </row>
    <row r="47" spans="1:21" x14ac:dyDescent="0.8">
      <c r="A47" s="13" t="s">
        <v>162</v>
      </c>
      <c r="B47" s="14">
        <v>45339</v>
      </c>
      <c r="C47" s="15" t="s">
        <v>69</v>
      </c>
      <c r="D47" s="15" t="s">
        <v>47</v>
      </c>
      <c r="E47" s="15" t="s">
        <v>163</v>
      </c>
      <c r="F47" s="15" t="s">
        <v>164</v>
      </c>
      <c r="G47" s="15" t="s">
        <v>165</v>
      </c>
      <c r="H47" s="15" t="s">
        <v>39</v>
      </c>
      <c r="I47" s="15" t="s">
        <v>85</v>
      </c>
      <c r="J47" s="15" t="s">
        <v>61</v>
      </c>
      <c r="K47" s="15" t="s">
        <v>119</v>
      </c>
      <c r="L47" s="15">
        <v>3</v>
      </c>
      <c r="M47" s="16">
        <v>6.96</v>
      </c>
      <c r="N47" s="16">
        <v>20.88</v>
      </c>
      <c r="O47" s="16">
        <v>1.04</v>
      </c>
      <c r="P47" s="16">
        <v>19.84</v>
      </c>
      <c r="Q47" s="16">
        <v>9.35</v>
      </c>
      <c r="R47" s="16">
        <v>10.49</v>
      </c>
      <c r="S47" s="15" t="s">
        <v>72</v>
      </c>
      <c r="T47" s="15" t="s">
        <v>44</v>
      </c>
      <c r="U47" s="17">
        <v>3</v>
      </c>
    </row>
    <row r="48" spans="1:21" x14ac:dyDescent="0.8">
      <c r="A48" s="13" t="s">
        <v>166</v>
      </c>
      <c r="B48" s="14">
        <v>45344</v>
      </c>
      <c r="C48" s="15" t="s">
        <v>46</v>
      </c>
      <c r="D48" s="15" t="s">
        <v>70</v>
      </c>
      <c r="E48" s="15" t="s">
        <v>163</v>
      </c>
      <c r="F48" s="15" t="s">
        <v>164</v>
      </c>
      <c r="G48" s="15" t="s">
        <v>165</v>
      </c>
      <c r="H48" s="15" t="s">
        <v>39</v>
      </c>
      <c r="I48" s="15" t="s">
        <v>85</v>
      </c>
      <c r="J48" s="15" t="s">
        <v>61</v>
      </c>
      <c r="K48" s="15" t="s">
        <v>119</v>
      </c>
      <c r="L48" s="15">
        <v>5</v>
      </c>
      <c r="M48" s="16">
        <v>7.09</v>
      </c>
      <c r="N48" s="16">
        <v>35.450000000000003</v>
      </c>
      <c r="O48" s="16">
        <v>5.32</v>
      </c>
      <c r="P48" s="16">
        <v>30.13</v>
      </c>
      <c r="Q48" s="16">
        <v>11.97</v>
      </c>
      <c r="R48" s="16">
        <v>18.16</v>
      </c>
      <c r="S48" s="15" t="s">
        <v>93</v>
      </c>
      <c r="T48" s="15" t="s">
        <v>44</v>
      </c>
      <c r="U48" s="17">
        <v>1</v>
      </c>
    </row>
    <row r="49" spans="1:21" x14ac:dyDescent="0.8">
      <c r="A49" s="13" t="s">
        <v>167</v>
      </c>
      <c r="B49" s="14">
        <v>45345</v>
      </c>
      <c r="C49" s="15" t="s">
        <v>57</v>
      </c>
      <c r="D49" s="15" t="s">
        <v>65</v>
      </c>
      <c r="E49" s="15" t="s">
        <v>131</v>
      </c>
      <c r="F49" s="15" t="s">
        <v>132</v>
      </c>
      <c r="G49" s="15" t="s">
        <v>133</v>
      </c>
      <c r="H49" s="15" t="s">
        <v>39</v>
      </c>
      <c r="I49" s="15" t="s">
        <v>134</v>
      </c>
      <c r="J49" s="15" t="s">
        <v>52</v>
      </c>
      <c r="K49" s="15" t="s">
        <v>71</v>
      </c>
      <c r="L49" s="15">
        <v>1</v>
      </c>
      <c r="M49" s="16">
        <v>3.95</v>
      </c>
      <c r="N49" s="16">
        <v>3.95</v>
      </c>
      <c r="O49" s="16">
        <v>0</v>
      </c>
      <c r="P49" s="16">
        <v>3.95</v>
      </c>
      <c r="Q49" s="16">
        <v>1.89</v>
      </c>
      <c r="R49" s="16">
        <v>2.06</v>
      </c>
      <c r="S49" s="15" t="s">
        <v>54</v>
      </c>
      <c r="T49" s="15" t="s">
        <v>63</v>
      </c>
      <c r="U49" s="17">
        <v>4</v>
      </c>
    </row>
    <row r="50" spans="1:21" x14ac:dyDescent="0.8">
      <c r="A50" s="13" t="s">
        <v>168</v>
      </c>
      <c r="B50" s="14">
        <v>45346</v>
      </c>
      <c r="C50" s="15" t="s">
        <v>69</v>
      </c>
      <c r="D50" s="15" t="s">
        <v>65</v>
      </c>
      <c r="E50" s="15" t="s">
        <v>58</v>
      </c>
      <c r="F50" s="15" t="s">
        <v>59</v>
      </c>
      <c r="G50" s="15" t="s">
        <v>60</v>
      </c>
      <c r="H50" s="15" t="s">
        <v>39</v>
      </c>
      <c r="I50" s="15" t="s">
        <v>40</v>
      </c>
      <c r="J50" s="15" t="s">
        <v>52</v>
      </c>
      <c r="K50" s="15" t="s">
        <v>169</v>
      </c>
      <c r="L50" s="15">
        <v>2</v>
      </c>
      <c r="M50" s="16">
        <v>2.93</v>
      </c>
      <c r="N50" s="16">
        <v>5.86</v>
      </c>
      <c r="O50" s="16">
        <v>0.59</v>
      </c>
      <c r="P50" s="16">
        <v>5.27</v>
      </c>
      <c r="Q50" s="16">
        <v>2.41</v>
      </c>
      <c r="R50" s="16">
        <v>2.86</v>
      </c>
      <c r="S50" s="15" t="s">
        <v>43</v>
      </c>
      <c r="T50" s="15" t="s">
        <v>144</v>
      </c>
      <c r="U50" s="17">
        <v>4</v>
      </c>
    </row>
    <row r="51" spans="1:21" x14ac:dyDescent="0.8">
      <c r="A51" s="13" t="s">
        <v>170</v>
      </c>
      <c r="B51" s="14">
        <v>45348</v>
      </c>
      <c r="C51" s="15" t="s">
        <v>75</v>
      </c>
      <c r="D51" s="15" t="s">
        <v>35</v>
      </c>
      <c r="E51" s="15" t="s">
        <v>48</v>
      </c>
      <c r="F51" s="15" t="s">
        <v>49</v>
      </c>
      <c r="G51" s="15" t="s">
        <v>50</v>
      </c>
      <c r="H51" s="15" t="s">
        <v>39</v>
      </c>
      <c r="I51" s="15" t="s">
        <v>51</v>
      </c>
      <c r="J51" s="15" t="s">
        <v>61</v>
      </c>
      <c r="K51" s="15" t="s">
        <v>62</v>
      </c>
      <c r="L51" s="15">
        <v>2</v>
      </c>
      <c r="M51" s="16">
        <v>10.54</v>
      </c>
      <c r="N51" s="16">
        <v>21.08</v>
      </c>
      <c r="O51" s="16">
        <v>2.11</v>
      </c>
      <c r="P51" s="16">
        <v>18.97</v>
      </c>
      <c r="Q51" s="16">
        <v>7.74</v>
      </c>
      <c r="R51" s="16">
        <v>11.23</v>
      </c>
      <c r="S51" s="15" t="s">
        <v>102</v>
      </c>
      <c r="T51" s="15" t="s">
        <v>87</v>
      </c>
      <c r="U51" s="17">
        <v>4</v>
      </c>
    </row>
    <row r="52" spans="1:21" x14ac:dyDescent="0.8">
      <c r="A52" s="13" t="s">
        <v>171</v>
      </c>
      <c r="B52" s="14">
        <v>45349</v>
      </c>
      <c r="C52" s="15" t="s">
        <v>81</v>
      </c>
      <c r="D52" s="15" t="s">
        <v>65</v>
      </c>
      <c r="E52" s="15" t="s">
        <v>104</v>
      </c>
      <c r="F52" s="15" t="s">
        <v>105</v>
      </c>
      <c r="G52" s="15" t="s">
        <v>106</v>
      </c>
      <c r="H52" s="15" t="s">
        <v>39</v>
      </c>
      <c r="I52" s="15" t="s">
        <v>85</v>
      </c>
      <c r="J52" s="15" t="s">
        <v>52</v>
      </c>
      <c r="K52" s="15" t="s">
        <v>53</v>
      </c>
      <c r="L52" s="15">
        <v>2</v>
      </c>
      <c r="M52" s="16">
        <v>2.56</v>
      </c>
      <c r="N52" s="16">
        <v>5.12</v>
      </c>
      <c r="O52" s="16">
        <v>0.77</v>
      </c>
      <c r="P52" s="16">
        <v>4.3499999999999996</v>
      </c>
      <c r="Q52" s="16">
        <v>1.73</v>
      </c>
      <c r="R52" s="16">
        <v>2.62</v>
      </c>
      <c r="S52" s="15" t="s">
        <v>102</v>
      </c>
      <c r="T52" s="15" t="s">
        <v>144</v>
      </c>
      <c r="U52" s="17">
        <v>2</v>
      </c>
    </row>
    <row r="53" spans="1:21" x14ac:dyDescent="0.8">
      <c r="A53" s="13" t="s">
        <v>172</v>
      </c>
      <c r="B53" s="14">
        <v>45350</v>
      </c>
      <c r="C53" s="15" t="s">
        <v>34</v>
      </c>
      <c r="D53" s="15" t="s">
        <v>65</v>
      </c>
      <c r="E53" s="15" t="s">
        <v>76</v>
      </c>
      <c r="F53" s="15" t="s">
        <v>77</v>
      </c>
      <c r="G53" s="15" t="s">
        <v>38</v>
      </c>
      <c r="H53" s="15" t="s">
        <v>39</v>
      </c>
      <c r="I53" s="15" t="s">
        <v>40</v>
      </c>
      <c r="J53" s="15" t="s">
        <v>66</v>
      </c>
      <c r="K53" s="15" t="s">
        <v>107</v>
      </c>
      <c r="L53" s="15">
        <v>2</v>
      </c>
      <c r="M53" s="16">
        <v>3.89</v>
      </c>
      <c r="N53" s="16">
        <v>7.78</v>
      </c>
      <c r="O53" s="16">
        <v>0.39</v>
      </c>
      <c r="P53" s="16">
        <v>7.39</v>
      </c>
      <c r="Q53" s="16">
        <v>3.93</v>
      </c>
      <c r="R53" s="16">
        <v>3.46</v>
      </c>
      <c r="S53" s="15" t="s">
        <v>72</v>
      </c>
      <c r="T53" s="15" t="s">
        <v>63</v>
      </c>
      <c r="U53" s="17">
        <v>3</v>
      </c>
    </row>
    <row r="54" spans="1:21" x14ac:dyDescent="0.8">
      <c r="A54" s="13" t="s">
        <v>173</v>
      </c>
      <c r="B54" s="14">
        <v>45350</v>
      </c>
      <c r="C54" s="15" t="s">
        <v>34</v>
      </c>
      <c r="D54" s="15" t="s">
        <v>65</v>
      </c>
      <c r="E54" s="15" t="s">
        <v>82</v>
      </c>
      <c r="F54" s="15" t="s">
        <v>83</v>
      </c>
      <c r="G54" s="15" t="s">
        <v>84</v>
      </c>
      <c r="H54" s="15" t="s">
        <v>39</v>
      </c>
      <c r="I54" s="15" t="s">
        <v>85</v>
      </c>
      <c r="J54" s="15" t="s">
        <v>78</v>
      </c>
      <c r="K54" s="15" t="s">
        <v>141</v>
      </c>
      <c r="L54" s="15">
        <v>3</v>
      </c>
      <c r="M54" s="16">
        <v>6.5</v>
      </c>
      <c r="N54" s="16">
        <v>19.5</v>
      </c>
      <c r="O54" s="16">
        <v>0</v>
      </c>
      <c r="P54" s="16">
        <v>19.5</v>
      </c>
      <c r="Q54" s="16">
        <v>8.7899999999999991</v>
      </c>
      <c r="R54" s="16">
        <v>10.71</v>
      </c>
      <c r="S54" s="15" t="s">
        <v>43</v>
      </c>
      <c r="T54" s="15" t="s">
        <v>144</v>
      </c>
      <c r="U54" s="17">
        <v>5</v>
      </c>
    </row>
    <row r="55" spans="1:21" x14ac:dyDescent="0.8">
      <c r="A55" s="13" t="s">
        <v>174</v>
      </c>
      <c r="B55" s="14">
        <v>45350</v>
      </c>
      <c r="C55" s="15" t="s">
        <v>34</v>
      </c>
      <c r="D55" s="15" t="s">
        <v>35</v>
      </c>
      <c r="E55" s="15" t="s">
        <v>48</v>
      </c>
      <c r="F55" s="15" t="s">
        <v>49</v>
      </c>
      <c r="G55" s="15" t="s">
        <v>50</v>
      </c>
      <c r="H55" s="15" t="s">
        <v>39</v>
      </c>
      <c r="I55" s="15" t="s">
        <v>51</v>
      </c>
      <c r="J55" s="15" t="s">
        <v>100</v>
      </c>
      <c r="K55" s="15" t="s">
        <v>111</v>
      </c>
      <c r="L55" s="15">
        <v>3</v>
      </c>
      <c r="M55" s="16">
        <v>5.89</v>
      </c>
      <c r="N55" s="16">
        <v>17.670000000000002</v>
      </c>
      <c r="O55" s="16">
        <v>0.88</v>
      </c>
      <c r="P55" s="16">
        <v>16.79</v>
      </c>
      <c r="Q55" s="16">
        <v>8.14</v>
      </c>
      <c r="R55" s="16">
        <v>8.65</v>
      </c>
      <c r="S55" s="15" t="s">
        <v>72</v>
      </c>
      <c r="T55" s="15" t="s">
        <v>87</v>
      </c>
      <c r="U55" s="17">
        <v>3</v>
      </c>
    </row>
    <row r="56" spans="1:21" x14ac:dyDescent="0.8">
      <c r="A56" s="13" t="s">
        <v>175</v>
      </c>
      <c r="B56" s="14">
        <v>45350</v>
      </c>
      <c r="C56" s="15" t="s">
        <v>34</v>
      </c>
      <c r="D56" s="15" t="s">
        <v>47</v>
      </c>
      <c r="E56" s="15" t="s">
        <v>58</v>
      </c>
      <c r="F56" s="15" t="s">
        <v>59</v>
      </c>
      <c r="G56" s="15" t="s">
        <v>60</v>
      </c>
      <c r="H56" s="15" t="s">
        <v>39</v>
      </c>
      <c r="I56" s="15" t="s">
        <v>40</v>
      </c>
      <c r="J56" s="15" t="s">
        <v>61</v>
      </c>
      <c r="K56" s="15" t="s">
        <v>161</v>
      </c>
      <c r="L56" s="15">
        <v>2</v>
      </c>
      <c r="M56" s="16">
        <v>11.16</v>
      </c>
      <c r="N56" s="16">
        <v>22.32</v>
      </c>
      <c r="O56" s="16">
        <v>2.23</v>
      </c>
      <c r="P56" s="16">
        <v>20.09</v>
      </c>
      <c r="Q56" s="16">
        <v>8.8000000000000007</v>
      </c>
      <c r="R56" s="16">
        <v>11.29</v>
      </c>
      <c r="S56" s="15" t="s">
        <v>93</v>
      </c>
      <c r="T56" s="15" t="s">
        <v>63</v>
      </c>
      <c r="U56" s="17">
        <v>5</v>
      </c>
    </row>
    <row r="57" spans="1:21" x14ac:dyDescent="0.8">
      <c r="A57" s="13" t="s">
        <v>176</v>
      </c>
      <c r="B57" s="14">
        <v>45351</v>
      </c>
      <c r="C57" s="15" t="s">
        <v>46</v>
      </c>
      <c r="D57" s="15" t="s">
        <v>65</v>
      </c>
      <c r="E57" s="15" t="s">
        <v>76</v>
      </c>
      <c r="F57" s="15" t="s">
        <v>77</v>
      </c>
      <c r="G57" s="15" t="s">
        <v>38</v>
      </c>
      <c r="H57" s="15" t="s">
        <v>39</v>
      </c>
      <c r="I57" s="15" t="s">
        <v>40</v>
      </c>
      <c r="J57" s="15" t="s">
        <v>66</v>
      </c>
      <c r="K57" s="15" t="s">
        <v>86</v>
      </c>
      <c r="L57" s="15">
        <v>2</v>
      </c>
      <c r="M57" s="16">
        <v>3.77</v>
      </c>
      <c r="N57" s="16">
        <v>7.54</v>
      </c>
      <c r="O57" s="16">
        <v>0</v>
      </c>
      <c r="P57" s="16">
        <v>7.54</v>
      </c>
      <c r="Q57" s="16">
        <v>3.22</v>
      </c>
      <c r="R57" s="16">
        <v>4.32</v>
      </c>
      <c r="S57" s="15" t="s">
        <v>93</v>
      </c>
      <c r="T57" s="15" t="s">
        <v>63</v>
      </c>
      <c r="U57" s="17">
        <v>4</v>
      </c>
    </row>
    <row r="58" spans="1:21" x14ac:dyDescent="0.8">
      <c r="A58" s="13" t="s">
        <v>177</v>
      </c>
      <c r="B58" s="14">
        <v>45351</v>
      </c>
      <c r="C58" s="15" t="s">
        <v>46</v>
      </c>
      <c r="D58" s="15" t="s">
        <v>70</v>
      </c>
      <c r="E58" s="15" t="s">
        <v>114</v>
      </c>
      <c r="F58" s="15" t="s">
        <v>115</v>
      </c>
      <c r="G58" s="15" t="s">
        <v>116</v>
      </c>
      <c r="H58" s="15" t="s">
        <v>39</v>
      </c>
      <c r="I58" s="15" t="s">
        <v>51</v>
      </c>
      <c r="J58" s="15" t="s">
        <v>61</v>
      </c>
      <c r="K58" s="15" t="s">
        <v>62</v>
      </c>
      <c r="L58" s="15">
        <v>2</v>
      </c>
      <c r="M58" s="16">
        <v>10.52</v>
      </c>
      <c r="N58" s="16">
        <v>21.04</v>
      </c>
      <c r="O58" s="16">
        <v>0</v>
      </c>
      <c r="P58" s="16">
        <v>21.04</v>
      </c>
      <c r="Q58" s="16">
        <v>8.15</v>
      </c>
      <c r="R58" s="16">
        <v>12.89</v>
      </c>
      <c r="S58" s="15" t="s">
        <v>123</v>
      </c>
      <c r="T58" s="15" t="s">
        <v>87</v>
      </c>
      <c r="U58" s="17">
        <v>4</v>
      </c>
    </row>
    <row r="59" spans="1:21" x14ac:dyDescent="0.8">
      <c r="A59" s="13" t="s">
        <v>178</v>
      </c>
      <c r="B59" s="14">
        <v>45352</v>
      </c>
      <c r="C59" s="15" t="s">
        <v>57</v>
      </c>
      <c r="D59" s="15" t="s">
        <v>70</v>
      </c>
      <c r="E59" s="15" t="s">
        <v>48</v>
      </c>
      <c r="F59" s="15" t="s">
        <v>49</v>
      </c>
      <c r="G59" s="15" t="s">
        <v>50</v>
      </c>
      <c r="H59" s="15" t="s">
        <v>39</v>
      </c>
      <c r="I59" s="15" t="s">
        <v>51</v>
      </c>
      <c r="J59" s="15" t="s">
        <v>41</v>
      </c>
      <c r="K59" s="15" t="s">
        <v>154</v>
      </c>
      <c r="L59" s="15">
        <v>2</v>
      </c>
      <c r="M59" s="16">
        <v>1.46</v>
      </c>
      <c r="N59" s="16">
        <v>2.92</v>
      </c>
      <c r="O59" s="16">
        <v>0.44</v>
      </c>
      <c r="P59" s="16">
        <v>2.48</v>
      </c>
      <c r="Q59" s="16">
        <v>1.1399999999999999</v>
      </c>
      <c r="R59" s="16">
        <v>1.34</v>
      </c>
      <c r="S59" s="15" t="s">
        <v>123</v>
      </c>
      <c r="T59" s="15" t="s">
        <v>63</v>
      </c>
      <c r="U59" s="17">
        <v>4</v>
      </c>
    </row>
    <row r="60" spans="1:21" x14ac:dyDescent="0.8">
      <c r="A60" s="13" t="s">
        <v>179</v>
      </c>
      <c r="B60" s="14">
        <v>45353</v>
      </c>
      <c r="C60" s="15" t="s">
        <v>69</v>
      </c>
      <c r="D60" s="15" t="s">
        <v>47</v>
      </c>
      <c r="E60" s="15" t="s">
        <v>104</v>
      </c>
      <c r="F60" s="15" t="s">
        <v>105</v>
      </c>
      <c r="G60" s="15" t="s">
        <v>106</v>
      </c>
      <c r="H60" s="15" t="s">
        <v>39</v>
      </c>
      <c r="I60" s="15" t="s">
        <v>85</v>
      </c>
      <c r="J60" s="15" t="s">
        <v>52</v>
      </c>
      <c r="K60" s="15" t="s">
        <v>180</v>
      </c>
      <c r="L60" s="15">
        <v>3</v>
      </c>
      <c r="M60" s="16">
        <v>3.71</v>
      </c>
      <c r="N60" s="16">
        <v>11.13</v>
      </c>
      <c r="O60" s="16">
        <v>2.23</v>
      </c>
      <c r="P60" s="16">
        <v>8.9</v>
      </c>
      <c r="Q60" s="16">
        <v>4.05</v>
      </c>
      <c r="R60" s="16">
        <v>4.8499999999999996</v>
      </c>
      <c r="S60" s="15" t="s">
        <v>54</v>
      </c>
      <c r="T60" s="15" t="s">
        <v>55</v>
      </c>
      <c r="U60" s="17">
        <v>4</v>
      </c>
    </row>
    <row r="61" spans="1:21" x14ac:dyDescent="0.8">
      <c r="A61" s="13" t="s">
        <v>181</v>
      </c>
      <c r="B61" s="14">
        <v>45354</v>
      </c>
      <c r="C61" s="15" t="s">
        <v>99</v>
      </c>
      <c r="D61" s="15" t="s">
        <v>65</v>
      </c>
      <c r="E61" s="15" t="s">
        <v>36</v>
      </c>
      <c r="F61" s="15" t="s">
        <v>37</v>
      </c>
      <c r="G61" s="15" t="s">
        <v>38</v>
      </c>
      <c r="H61" s="15" t="s">
        <v>39</v>
      </c>
      <c r="I61" s="15" t="s">
        <v>40</v>
      </c>
      <c r="J61" s="15" t="s">
        <v>41</v>
      </c>
      <c r="K61" s="15" t="s">
        <v>109</v>
      </c>
      <c r="L61" s="15">
        <v>3</v>
      </c>
      <c r="M61" s="16">
        <v>2.42</v>
      </c>
      <c r="N61" s="16">
        <v>7.26</v>
      </c>
      <c r="O61" s="16">
        <v>0.36</v>
      </c>
      <c r="P61" s="16">
        <v>6.9</v>
      </c>
      <c r="Q61" s="16">
        <v>2.92</v>
      </c>
      <c r="R61" s="16">
        <v>3.98</v>
      </c>
      <c r="S61" s="15" t="s">
        <v>43</v>
      </c>
      <c r="T61" s="15" t="s">
        <v>44</v>
      </c>
      <c r="U61" s="17">
        <v>5</v>
      </c>
    </row>
    <row r="62" spans="1:21" x14ac:dyDescent="0.8">
      <c r="A62" s="13" t="s">
        <v>182</v>
      </c>
      <c r="B62" s="14">
        <v>45355</v>
      </c>
      <c r="C62" s="15" t="s">
        <v>75</v>
      </c>
      <c r="D62" s="15" t="s">
        <v>47</v>
      </c>
      <c r="E62" s="15" t="s">
        <v>89</v>
      </c>
      <c r="F62" s="15" t="s">
        <v>90</v>
      </c>
      <c r="G62" s="15" t="s">
        <v>91</v>
      </c>
      <c r="H62" s="15" t="s">
        <v>39</v>
      </c>
      <c r="I62" s="15" t="s">
        <v>92</v>
      </c>
      <c r="J62" s="15" t="s">
        <v>66</v>
      </c>
      <c r="K62" s="15" t="s">
        <v>183</v>
      </c>
      <c r="L62" s="15">
        <v>3</v>
      </c>
      <c r="M62" s="16">
        <v>1.46</v>
      </c>
      <c r="N62" s="16">
        <v>4.38</v>
      </c>
      <c r="O62" s="16">
        <v>0.22</v>
      </c>
      <c r="P62" s="16">
        <v>4.16</v>
      </c>
      <c r="Q62" s="16">
        <v>1.46</v>
      </c>
      <c r="R62" s="16">
        <v>2.7</v>
      </c>
      <c r="S62" s="15" t="s">
        <v>72</v>
      </c>
      <c r="T62" s="15" t="s">
        <v>73</v>
      </c>
      <c r="U62" s="17">
        <v>5</v>
      </c>
    </row>
    <row r="63" spans="1:21" x14ac:dyDescent="0.8">
      <c r="A63" s="13" t="s">
        <v>184</v>
      </c>
      <c r="B63" s="14">
        <v>45356</v>
      </c>
      <c r="C63" s="15" t="s">
        <v>81</v>
      </c>
      <c r="D63" s="15" t="s">
        <v>70</v>
      </c>
      <c r="E63" s="15" t="s">
        <v>48</v>
      </c>
      <c r="F63" s="15" t="s">
        <v>49</v>
      </c>
      <c r="G63" s="15" t="s">
        <v>50</v>
      </c>
      <c r="H63" s="15" t="s">
        <v>39</v>
      </c>
      <c r="I63" s="15" t="s">
        <v>51</v>
      </c>
      <c r="J63" s="15" t="s">
        <v>100</v>
      </c>
      <c r="K63" s="15" t="s">
        <v>185</v>
      </c>
      <c r="L63" s="15">
        <v>2</v>
      </c>
      <c r="M63" s="16">
        <v>6.48</v>
      </c>
      <c r="N63" s="16">
        <v>12.96</v>
      </c>
      <c r="O63" s="16">
        <v>0</v>
      </c>
      <c r="P63" s="16">
        <v>12.96</v>
      </c>
      <c r="Q63" s="16">
        <v>5.01</v>
      </c>
      <c r="R63" s="16">
        <v>7.95</v>
      </c>
      <c r="S63" s="15" t="s">
        <v>102</v>
      </c>
      <c r="T63" s="15" t="s">
        <v>55</v>
      </c>
      <c r="U63" s="17">
        <v>3</v>
      </c>
    </row>
    <row r="64" spans="1:21" x14ac:dyDescent="0.8">
      <c r="A64" s="13" t="s">
        <v>186</v>
      </c>
      <c r="B64" s="14">
        <v>45357</v>
      </c>
      <c r="C64" s="15" t="s">
        <v>34</v>
      </c>
      <c r="D64" s="15" t="s">
        <v>70</v>
      </c>
      <c r="E64" s="15" t="s">
        <v>131</v>
      </c>
      <c r="F64" s="15" t="s">
        <v>132</v>
      </c>
      <c r="G64" s="15" t="s">
        <v>133</v>
      </c>
      <c r="H64" s="15" t="s">
        <v>39</v>
      </c>
      <c r="I64" s="15" t="s">
        <v>134</v>
      </c>
      <c r="J64" s="15" t="s">
        <v>61</v>
      </c>
      <c r="K64" s="15" t="s">
        <v>62</v>
      </c>
      <c r="L64" s="15">
        <v>4</v>
      </c>
      <c r="M64" s="16">
        <v>10.55</v>
      </c>
      <c r="N64" s="16">
        <v>42.2</v>
      </c>
      <c r="O64" s="16">
        <v>2.11</v>
      </c>
      <c r="P64" s="16">
        <v>40.090000000000003</v>
      </c>
      <c r="Q64" s="16">
        <v>14.7</v>
      </c>
      <c r="R64" s="16">
        <v>25.39</v>
      </c>
      <c r="S64" s="15" t="s">
        <v>72</v>
      </c>
      <c r="T64" s="15" t="s">
        <v>44</v>
      </c>
      <c r="U64" s="17">
        <v>3</v>
      </c>
    </row>
    <row r="65" spans="1:21" x14ac:dyDescent="0.8">
      <c r="A65" s="13" t="s">
        <v>187</v>
      </c>
      <c r="B65" s="14">
        <v>45359</v>
      </c>
      <c r="C65" s="15" t="s">
        <v>57</v>
      </c>
      <c r="D65" s="15" t="s">
        <v>65</v>
      </c>
      <c r="E65" s="15" t="s">
        <v>89</v>
      </c>
      <c r="F65" s="15" t="s">
        <v>90</v>
      </c>
      <c r="G65" s="15" t="s">
        <v>91</v>
      </c>
      <c r="H65" s="15" t="s">
        <v>39</v>
      </c>
      <c r="I65" s="15" t="s">
        <v>92</v>
      </c>
      <c r="J65" s="15" t="s">
        <v>66</v>
      </c>
      <c r="K65" s="15" t="s">
        <v>67</v>
      </c>
      <c r="L65" s="15">
        <v>2</v>
      </c>
      <c r="M65" s="16">
        <v>0.99</v>
      </c>
      <c r="N65" s="16">
        <v>1.98</v>
      </c>
      <c r="O65" s="16">
        <v>0</v>
      </c>
      <c r="P65" s="16">
        <v>1.98</v>
      </c>
      <c r="Q65" s="16">
        <v>1.05</v>
      </c>
      <c r="R65" s="16">
        <v>0.93</v>
      </c>
      <c r="S65" s="15" t="s">
        <v>72</v>
      </c>
      <c r="T65" s="15" t="s">
        <v>55</v>
      </c>
      <c r="U65" s="17">
        <v>5</v>
      </c>
    </row>
    <row r="66" spans="1:21" x14ac:dyDescent="0.8">
      <c r="A66" s="13" t="s">
        <v>188</v>
      </c>
      <c r="B66" s="14">
        <v>45359</v>
      </c>
      <c r="C66" s="15" t="s">
        <v>57</v>
      </c>
      <c r="D66" s="15" t="s">
        <v>65</v>
      </c>
      <c r="E66" s="15" t="s">
        <v>36</v>
      </c>
      <c r="F66" s="15" t="s">
        <v>37</v>
      </c>
      <c r="G66" s="15" t="s">
        <v>38</v>
      </c>
      <c r="H66" s="15" t="s">
        <v>39</v>
      </c>
      <c r="I66" s="15" t="s">
        <v>40</v>
      </c>
      <c r="J66" s="15" t="s">
        <v>52</v>
      </c>
      <c r="K66" s="15" t="s">
        <v>135</v>
      </c>
      <c r="L66" s="15">
        <v>2</v>
      </c>
      <c r="M66" s="16">
        <v>1.95</v>
      </c>
      <c r="N66" s="16">
        <v>3.9</v>
      </c>
      <c r="O66" s="16">
        <v>0</v>
      </c>
      <c r="P66" s="16">
        <v>3.9</v>
      </c>
      <c r="Q66" s="16">
        <v>1.87</v>
      </c>
      <c r="R66" s="16">
        <v>2.0299999999999998</v>
      </c>
      <c r="S66" s="15" t="s">
        <v>102</v>
      </c>
      <c r="T66" s="15" t="s">
        <v>63</v>
      </c>
      <c r="U66" s="17">
        <v>4</v>
      </c>
    </row>
    <row r="67" spans="1:21" x14ac:dyDescent="0.8">
      <c r="A67" s="13" t="s">
        <v>189</v>
      </c>
      <c r="B67" s="14">
        <v>45362</v>
      </c>
      <c r="C67" s="15" t="s">
        <v>75</v>
      </c>
      <c r="D67" s="15" t="s">
        <v>65</v>
      </c>
      <c r="E67" s="15" t="s">
        <v>76</v>
      </c>
      <c r="F67" s="15" t="s">
        <v>77</v>
      </c>
      <c r="G67" s="15" t="s">
        <v>38</v>
      </c>
      <c r="H67" s="15" t="s">
        <v>39</v>
      </c>
      <c r="I67" s="15" t="s">
        <v>40</v>
      </c>
      <c r="J67" s="15" t="s">
        <v>100</v>
      </c>
      <c r="K67" s="15" t="s">
        <v>101</v>
      </c>
      <c r="L67" s="15">
        <v>3</v>
      </c>
      <c r="M67" s="16">
        <v>3.41</v>
      </c>
      <c r="N67" s="16">
        <v>10.23</v>
      </c>
      <c r="O67" s="16">
        <v>1.02</v>
      </c>
      <c r="P67" s="16">
        <v>9.2100000000000009</v>
      </c>
      <c r="Q67" s="16">
        <v>4.76</v>
      </c>
      <c r="R67" s="16">
        <v>4.45</v>
      </c>
      <c r="S67" s="15" t="s">
        <v>43</v>
      </c>
      <c r="T67" s="15" t="s">
        <v>144</v>
      </c>
      <c r="U67" s="17">
        <v>4</v>
      </c>
    </row>
    <row r="68" spans="1:21" x14ac:dyDescent="0.8">
      <c r="A68" s="13" t="s">
        <v>190</v>
      </c>
      <c r="B68" s="14">
        <v>45362</v>
      </c>
      <c r="C68" s="15" t="s">
        <v>75</v>
      </c>
      <c r="D68" s="15" t="s">
        <v>70</v>
      </c>
      <c r="E68" s="15" t="s">
        <v>89</v>
      </c>
      <c r="F68" s="15" t="s">
        <v>90</v>
      </c>
      <c r="G68" s="15" t="s">
        <v>91</v>
      </c>
      <c r="H68" s="15" t="s">
        <v>39</v>
      </c>
      <c r="I68" s="15" t="s">
        <v>92</v>
      </c>
      <c r="J68" s="15" t="s">
        <v>41</v>
      </c>
      <c r="K68" s="15" t="s">
        <v>125</v>
      </c>
      <c r="L68" s="15">
        <v>1</v>
      </c>
      <c r="M68" s="16">
        <v>2.82</v>
      </c>
      <c r="N68" s="16">
        <v>2.82</v>
      </c>
      <c r="O68" s="16">
        <v>0.14000000000000001</v>
      </c>
      <c r="P68" s="16">
        <v>2.68</v>
      </c>
      <c r="Q68" s="16">
        <v>1.1100000000000001</v>
      </c>
      <c r="R68" s="16">
        <v>1.57</v>
      </c>
      <c r="S68" s="15" t="s">
        <v>93</v>
      </c>
      <c r="T68" s="15" t="s">
        <v>63</v>
      </c>
      <c r="U68" s="17">
        <v>4</v>
      </c>
    </row>
    <row r="69" spans="1:21" x14ac:dyDescent="0.8">
      <c r="A69" s="13" t="s">
        <v>191</v>
      </c>
      <c r="B69" s="14">
        <v>45362</v>
      </c>
      <c r="C69" s="15" t="s">
        <v>75</v>
      </c>
      <c r="D69" s="15" t="s">
        <v>65</v>
      </c>
      <c r="E69" s="15" t="s">
        <v>89</v>
      </c>
      <c r="F69" s="15" t="s">
        <v>90</v>
      </c>
      <c r="G69" s="15" t="s">
        <v>91</v>
      </c>
      <c r="H69" s="15" t="s">
        <v>39</v>
      </c>
      <c r="I69" s="15" t="s">
        <v>92</v>
      </c>
      <c r="J69" s="15" t="s">
        <v>78</v>
      </c>
      <c r="K69" s="15" t="s">
        <v>143</v>
      </c>
      <c r="L69" s="15">
        <v>3</v>
      </c>
      <c r="M69" s="16">
        <v>2.85</v>
      </c>
      <c r="N69" s="16">
        <v>8.5500000000000007</v>
      </c>
      <c r="O69" s="16">
        <v>0</v>
      </c>
      <c r="P69" s="16">
        <v>8.5500000000000007</v>
      </c>
      <c r="Q69" s="16">
        <v>3.27</v>
      </c>
      <c r="R69" s="16">
        <v>5.28</v>
      </c>
      <c r="S69" s="15" t="s">
        <v>54</v>
      </c>
      <c r="T69" s="15" t="s">
        <v>63</v>
      </c>
      <c r="U69" s="17">
        <v>2</v>
      </c>
    </row>
    <row r="70" spans="1:21" x14ac:dyDescent="0.8">
      <c r="A70" s="13" t="s">
        <v>192</v>
      </c>
      <c r="B70" s="14">
        <v>45363</v>
      </c>
      <c r="C70" s="15" t="s">
        <v>81</v>
      </c>
      <c r="D70" s="15" t="s">
        <v>70</v>
      </c>
      <c r="E70" s="15" t="s">
        <v>163</v>
      </c>
      <c r="F70" s="15" t="s">
        <v>164</v>
      </c>
      <c r="G70" s="15" t="s">
        <v>165</v>
      </c>
      <c r="H70" s="15" t="s">
        <v>39</v>
      </c>
      <c r="I70" s="15" t="s">
        <v>85</v>
      </c>
      <c r="J70" s="15" t="s">
        <v>61</v>
      </c>
      <c r="K70" s="15" t="s">
        <v>161</v>
      </c>
      <c r="L70" s="15">
        <v>1</v>
      </c>
      <c r="M70" s="16">
        <v>11.31</v>
      </c>
      <c r="N70" s="16">
        <v>11.31</v>
      </c>
      <c r="O70" s="16">
        <v>1.1299999999999999</v>
      </c>
      <c r="P70" s="16">
        <v>10.18</v>
      </c>
      <c r="Q70" s="16">
        <v>4.17</v>
      </c>
      <c r="R70" s="16">
        <v>6.01</v>
      </c>
      <c r="S70" s="15" t="s">
        <v>123</v>
      </c>
      <c r="T70" s="15" t="s">
        <v>87</v>
      </c>
      <c r="U70" s="17">
        <v>4</v>
      </c>
    </row>
    <row r="71" spans="1:21" x14ac:dyDescent="0.8">
      <c r="A71" s="13" t="s">
        <v>193</v>
      </c>
      <c r="B71" s="14">
        <v>45363</v>
      </c>
      <c r="C71" s="15" t="s">
        <v>81</v>
      </c>
      <c r="D71" s="15" t="s">
        <v>65</v>
      </c>
      <c r="E71" s="15" t="s">
        <v>58</v>
      </c>
      <c r="F71" s="15" t="s">
        <v>59</v>
      </c>
      <c r="G71" s="15" t="s">
        <v>60</v>
      </c>
      <c r="H71" s="15" t="s">
        <v>39</v>
      </c>
      <c r="I71" s="15" t="s">
        <v>40</v>
      </c>
      <c r="J71" s="15" t="s">
        <v>41</v>
      </c>
      <c r="K71" s="15" t="s">
        <v>42</v>
      </c>
      <c r="L71" s="15">
        <v>2</v>
      </c>
      <c r="M71" s="16">
        <v>4.55</v>
      </c>
      <c r="N71" s="16">
        <v>9.1</v>
      </c>
      <c r="O71" s="16">
        <v>0.91</v>
      </c>
      <c r="P71" s="16">
        <v>8.19</v>
      </c>
      <c r="Q71" s="16">
        <v>2.99</v>
      </c>
      <c r="R71" s="16">
        <v>5.2</v>
      </c>
      <c r="S71" s="15" t="s">
        <v>43</v>
      </c>
      <c r="T71" s="15" t="s">
        <v>63</v>
      </c>
      <c r="U71" s="17">
        <v>4</v>
      </c>
    </row>
    <row r="72" spans="1:21" x14ac:dyDescent="0.8">
      <c r="A72" s="13" t="s">
        <v>194</v>
      </c>
      <c r="B72" s="14">
        <v>45363</v>
      </c>
      <c r="C72" s="15" t="s">
        <v>81</v>
      </c>
      <c r="D72" s="15" t="s">
        <v>65</v>
      </c>
      <c r="E72" s="15" t="s">
        <v>82</v>
      </c>
      <c r="F72" s="15" t="s">
        <v>83</v>
      </c>
      <c r="G72" s="15" t="s">
        <v>84</v>
      </c>
      <c r="H72" s="15" t="s">
        <v>39</v>
      </c>
      <c r="I72" s="15" t="s">
        <v>85</v>
      </c>
      <c r="J72" s="15" t="s">
        <v>100</v>
      </c>
      <c r="K72" s="15" t="s">
        <v>185</v>
      </c>
      <c r="L72" s="15">
        <v>3</v>
      </c>
      <c r="M72" s="16">
        <v>6.68</v>
      </c>
      <c r="N72" s="16">
        <v>20.04</v>
      </c>
      <c r="O72" s="16">
        <v>0</v>
      </c>
      <c r="P72" s="16">
        <v>20.04</v>
      </c>
      <c r="Q72" s="16">
        <v>10.32</v>
      </c>
      <c r="R72" s="16">
        <v>9.7200000000000006</v>
      </c>
      <c r="S72" s="15" t="s">
        <v>123</v>
      </c>
      <c r="T72" s="15" t="s">
        <v>73</v>
      </c>
      <c r="U72" s="17">
        <v>5</v>
      </c>
    </row>
    <row r="73" spans="1:21" x14ac:dyDescent="0.8">
      <c r="A73" s="13" t="s">
        <v>195</v>
      </c>
      <c r="B73" s="14">
        <v>45363</v>
      </c>
      <c r="C73" s="15" t="s">
        <v>81</v>
      </c>
      <c r="D73" s="15" t="s">
        <v>65</v>
      </c>
      <c r="E73" s="15" t="s">
        <v>48</v>
      </c>
      <c r="F73" s="15" t="s">
        <v>49</v>
      </c>
      <c r="G73" s="15" t="s">
        <v>50</v>
      </c>
      <c r="H73" s="15" t="s">
        <v>39</v>
      </c>
      <c r="I73" s="15" t="s">
        <v>51</v>
      </c>
      <c r="J73" s="15" t="s">
        <v>66</v>
      </c>
      <c r="K73" s="15" t="s">
        <v>86</v>
      </c>
      <c r="L73" s="15">
        <v>1</v>
      </c>
      <c r="M73" s="16">
        <v>3.76</v>
      </c>
      <c r="N73" s="16">
        <v>3.76</v>
      </c>
      <c r="O73" s="16">
        <v>0</v>
      </c>
      <c r="P73" s="16">
        <v>3.76</v>
      </c>
      <c r="Q73" s="16">
        <v>1.52</v>
      </c>
      <c r="R73" s="16">
        <v>2.2400000000000002</v>
      </c>
      <c r="S73" s="15" t="s">
        <v>123</v>
      </c>
      <c r="T73" s="15" t="s">
        <v>55</v>
      </c>
      <c r="U73" s="17">
        <v>5</v>
      </c>
    </row>
    <row r="74" spans="1:21" x14ac:dyDescent="0.8">
      <c r="A74" s="13" t="s">
        <v>196</v>
      </c>
      <c r="B74" s="14">
        <v>45363</v>
      </c>
      <c r="C74" s="15" t="s">
        <v>81</v>
      </c>
      <c r="D74" s="15" t="s">
        <v>65</v>
      </c>
      <c r="E74" s="15" t="s">
        <v>104</v>
      </c>
      <c r="F74" s="15" t="s">
        <v>105</v>
      </c>
      <c r="G74" s="15" t="s">
        <v>106</v>
      </c>
      <c r="H74" s="15" t="s">
        <v>39</v>
      </c>
      <c r="I74" s="15" t="s">
        <v>85</v>
      </c>
      <c r="J74" s="15" t="s">
        <v>52</v>
      </c>
      <c r="K74" s="15" t="s">
        <v>53</v>
      </c>
      <c r="L74" s="15">
        <v>5</v>
      </c>
      <c r="M74" s="16">
        <v>2.4500000000000002</v>
      </c>
      <c r="N74" s="16">
        <v>12.25</v>
      </c>
      <c r="O74" s="16">
        <v>0</v>
      </c>
      <c r="P74" s="16">
        <v>12.25</v>
      </c>
      <c r="Q74" s="16">
        <v>5.24</v>
      </c>
      <c r="R74" s="16">
        <v>7.01</v>
      </c>
      <c r="S74" s="15" t="s">
        <v>102</v>
      </c>
      <c r="T74" s="15" t="s">
        <v>87</v>
      </c>
      <c r="U74" s="17">
        <v>5</v>
      </c>
    </row>
    <row r="75" spans="1:21" x14ac:dyDescent="0.8">
      <c r="A75" s="13" t="s">
        <v>197</v>
      </c>
      <c r="B75" s="14">
        <v>45367</v>
      </c>
      <c r="C75" s="15" t="s">
        <v>69</v>
      </c>
      <c r="D75" s="15" t="s">
        <v>70</v>
      </c>
      <c r="E75" s="15" t="s">
        <v>131</v>
      </c>
      <c r="F75" s="15" t="s">
        <v>132</v>
      </c>
      <c r="G75" s="15" t="s">
        <v>133</v>
      </c>
      <c r="H75" s="15" t="s">
        <v>39</v>
      </c>
      <c r="I75" s="15" t="s">
        <v>134</v>
      </c>
      <c r="J75" s="15" t="s">
        <v>61</v>
      </c>
      <c r="K75" s="15" t="s">
        <v>62</v>
      </c>
      <c r="L75" s="15">
        <v>4</v>
      </c>
      <c r="M75" s="16">
        <v>10.53</v>
      </c>
      <c r="N75" s="16">
        <v>42.12</v>
      </c>
      <c r="O75" s="16">
        <v>0</v>
      </c>
      <c r="P75" s="16">
        <v>42.12</v>
      </c>
      <c r="Q75" s="16">
        <v>17.149999999999999</v>
      </c>
      <c r="R75" s="16">
        <v>24.97</v>
      </c>
      <c r="S75" s="15" t="s">
        <v>43</v>
      </c>
      <c r="T75" s="15" t="s">
        <v>55</v>
      </c>
      <c r="U75" s="17">
        <v>4</v>
      </c>
    </row>
    <row r="76" spans="1:21" x14ac:dyDescent="0.8">
      <c r="A76" s="13" t="s">
        <v>198</v>
      </c>
      <c r="B76" s="14">
        <v>45368</v>
      </c>
      <c r="C76" s="15" t="s">
        <v>99</v>
      </c>
      <c r="D76" s="15" t="s">
        <v>47</v>
      </c>
      <c r="E76" s="15" t="s">
        <v>76</v>
      </c>
      <c r="F76" s="15" t="s">
        <v>77</v>
      </c>
      <c r="G76" s="15" t="s">
        <v>38</v>
      </c>
      <c r="H76" s="15" t="s">
        <v>39</v>
      </c>
      <c r="I76" s="15" t="s">
        <v>40</v>
      </c>
      <c r="J76" s="15" t="s">
        <v>66</v>
      </c>
      <c r="K76" s="15" t="s">
        <v>67</v>
      </c>
      <c r="L76" s="15">
        <v>2</v>
      </c>
      <c r="M76" s="16">
        <v>1.01</v>
      </c>
      <c r="N76" s="16">
        <v>2.02</v>
      </c>
      <c r="O76" s="16">
        <v>0.2</v>
      </c>
      <c r="P76" s="16">
        <v>1.82</v>
      </c>
      <c r="Q76" s="16">
        <v>0.81</v>
      </c>
      <c r="R76" s="16">
        <v>1.01</v>
      </c>
      <c r="S76" s="15" t="s">
        <v>43</v>
      </c>
      <c r="T76" s="15" t="s">
        <v>63</v>
      </c>
      <c r="U76" s="17">
        <v>4</v>
      </c>
    </row>
    <row r="77" spans="1:21" x14ac:dyDescent="0.8">
      <c r="A77" s="13" t="s">
        <v>199</v>
      </c>
      <c r="B77" s="14">
        <v>45370</v>
      </c>
      <c r="C77" s="15" t="s">
        <v>81</v>
      </c>
      <c r="D77" s="15" t="s">
        <v>70</v>
      </c>
      <c r="E77" s="15" t="s">
        <v>48</v>
      </c>
      <c r="F77" s="15" t="s">
        <v>49</v>
      </c>
      <c r="G77" s="15" t="s">
        <v>50</v>
      </c>
      <c r="H77" s="15" t="s">
        <v>39</v>
      </c>
      <c r="I77" s="15" t="s">
        <v>51</v>
      </c>
      <c r="J77" s="15" t="s">
        <v>52</v>
      </c>
      <c r="K77" s="15" t="s">
        <v>71</v>
      </c>
      <c r="L77" s="15">
        <v>2</v>
      </c>
      <c r="M77" s="16">
        <v>3.94</v>
      </c>
      <c r="N77" s="16">
        <v>7.88</v>
      </c>
      <c r="O77" s="16">
        <v>0.79</v>
      </c>
      <c r="P77" s="16">
        <v>7.09</v>
      </c>
      <c r="Q77" s="16">
        <v>3.87</v>
      </c>
      <c r="R77" s="16">
        <v>3.22</v>
      </c>
      <c r="S77" s="15" t="s">
        <v>93</v>
      </c>
      <c r="T77" s="15" t="s">
        <v>63</v>
      </c>
      <c r="U77" s="17">
        <v>3</v>
      </c>
    </row>
    <row r="78" spans="1:21" x14ac:dyDescent="0.8">
      <c r="A78" s="13" t="s">
        <v>200</v>
      </c>
      <c r="B78" s="14">
        <v>45372</v>
      </c>
      <c r="C78" s="15" t="s">
        <v>46</v>
      </c>
      <c r="D78" s="15" t="s">
        <v>70</v>
      </c>
      <c r="E78" s="15" t="s">
        <v>104</v>
      </c>
      <c r="F78" s="15" t="s">
        <v>105</v>
      </c>
      <c r="G78" s="15" t="s">
        <v>106</v>
      </c>
      <c r="H78" s="15" t="s">
        <v>39</v>
      </c>
      <c r="I78" s="15" t="s">
        <v>85</v>
      </c>
      <c r="J78" s="15" t="s">
        <v>78</v>
      </c>
      <c r="K78" s="15" t="s">
        <v>141</v>
      </c>
      <c r="L78" s="15">
        <v>2</v>
      </c>
      <c r="M78" s="16">
        <v>6.48</v>
      </c>
      <c r="N78" s="16">
        <v>12.96</v>
      </c>
      <c r="O78" s="16">
        <v>0</v>
      </c>
      <c r="P78" s="16">
        <v>12.96</v>
      </c>
      <c r="Q78" s="16">
        <v>5.28</v>
      </c>
      <c r="R78" s="16">
        <v>7.68</v>
      </c>
      <c r="S78" s="15" t="s">
        <v>123</v>
      </c>
      <c r="T78" s="15" t="s">
        <v>73</v>
      </c>
      <c r="U78" s="17">
        <v>2</v>
      </c>
    </row>
    <row r="79" spans="1:21" x14ac:dyDescent="0.8">
      <c r="A79" s="13" t="s">
        <v>201</v>
      </c>
      <c r="B79" s="14">
        <v>45373</v>
      </c>
      <c r="C79" s="15" t="s">
        <v>57</v>
      </c>
      <c r="D79" s="15" t="s">
        <v>35</v>
      </c>
      <c r="E79" s="15" t="s">
        <v>48</v>
      </c>
      <c r="F79" s="15" t="s">
        <v>49</v>
      </c>
      <c r="G79" s="15" t="s">
        <v>50</v>
      </c>
      <c r="H79" s="15" t="s">
        <v>39</v>
      </c>
      <c r="I79" s="15" t="s">
        <v>51</v>
      </c>
      <c r="J79" s="15" t="s">
        <v>61</v>
      </c>
      <c r="K79" s="15" t="s">
        <v>119</v>
      </c>
      <c r="L79" s="15">
        <v>2</v>
      </c>
      <c r="M79" s="16">
        <v>6.91</v>
      </c>
      <c r="N79" s="16">
        <v>13.82</v>
      </c>
      <c r="O79" s="16">
        <v>0</v>
      </c>
      <c r="P79" s="16">
        <v>13.82</v>
      </c>
      <c r="Q79" s="16">
        <v>7.45</v>
      </c>
      <c r="R79" s="16">
        <v>6.37</v>
      </c>
      <c r="S79" s="15" t="s">
        <v>43</v>
      </c>
      <c r="T79" s="15" t="s">
        <v>63</v>
      </c>
      <c r="U79" s="17">
        <v>3</v>
      </c>
    </row>
    <row r="80" spans="1:21" x14ac:dyDescent="0.8">
      <c r="A80" s="13" t="s">
        <v>202</v>
      </c>
      <c r="B80" s="14">
        <v>45373</v>
      </c>
      <c r="C80" s="15" t="s">
        <v>57</v>
      </c>
      <c r="D80" s="15" t="s">
        <v>47</v>
      </c>
      <c r="E80" s="15" t="s">
        <v>48</v>
      </c>
      <c r="F80" s="15" t="s">
        <v>49</v>
      </c>
      <c r="G80" s="15" t="s">
        <v>50</v>
      </c>
      <c r="H80" s="15" t="s">
        <v>39</v>
      </c>
      <c r="I80" s="15" t="s">
        <v>51</v>
      </c>
      <c r="J80" s="15" t="s">
        <v>100</v>
      </c>
      <c r="K80" s="15" t="s">
        <v>111</v>
      </c>
      <c r="L80" s="15">
        <v>2</v>
      </c>
      <c r="M80" s="16">
        <v>6.04</v>
      </c>
      <c r="N80" s="16">
        <v>12.08</v>
      </c>
      <c r="O80" s="16">
        <v>0</v>
      </c>
      <c r="P80" s="16">
        <v>12.08</v>
      </c>
      <c r="Q80" s="16">
        <v>6.56</v>
      </c>
      <c r="R80" s="16">
        <v>5.52</v>
      </c>
      <c r="S80" s="15" t="s">
        <v>72</v>
      </c>
      <c r="T80" s="15" t="s">
        <v>144</v>
      </c>
      <c r="U80" s="17">
        <v>4</v>
      </c>
    </row>
    <row r="81" spans="1:21" x14ac:dyDescent="0.8">
      <c r="A81" s="13" t="s">
        <v>203</v>
      </c>
      <c r="B81" s="14">
        <v>45373</v>
      </c>
      <c r="C81" s="15" t="s">
        <v>57</v>
      </c>
      <c r="D81" s="15" t="s">
        <v>35</v>
      </c>
      <c r="E81" s="15" t="s">
        <v>48</v>
      </c>
      <c r="F81" s="15" t="s">
        <v>49</v>
      </c>
      <c r="G81" s="15" t="s">
        <v>50</v>
      </c>
      <c r="H81" s="15" t="s">
        <v>39</v>
      </c>
      <c r="I81" s="15" t="s">
        <v>51</v>
      </c>
      <c r="J81" s="15" t="s">
        <v>78</v>
      </c>
      <c r="K81" s="15" t="s">
        <v>138</v>
      </c>
      <c r="L81" s="15">
        <v>3</v>
      </c>
      <c r="M81" s="16">
        <v>4.58</v>
      </c>
      <c r="N81" s="16">
        <v>13.74</v>
      </c>
      <c r="O81" s="16">
        <v>0</v>
      </c>
      <c r="P81" s="16">
        <v>13.74</v>
      </c>
      <c r="Q81" s="16">
        <v>6.95</v>
      </c>
      <c r="R81" s="16">
        <v>6.79</v>
      </c>
      <c r="S81" s="15" t="s">
        <v>72</v>
      </c>
      <c r="T81" s="15" t="s">
        <v>73</v>
      </c>
      <c r="U81" s="17">
        <v>4</v>
      </c>
    </row>
    <row r="82" spans="1:21" x14ac:dyDescent="0.8">
      <c r="A82" s="13" t="s">
        <v>204</v>
      </c>
      <c r="B82" s="14">
        <v>45373</v>
      </c>
      <c r="C82" s="15" t="s">
        <v>57</v>
      </c>
      <c r="D82" s="15" t="s">
        <v>70</v>
      </c>
      <c r="E82" s="15" t="s">
        <v>82</v>
      </c>
      <c r="F82" s="15" t="s">
        <v>83</v>
      </c>
      <c r="G82" s="15" t="s">
        <v>84</v>
      </c>
      <c r="H82" s="15" t="s">
        <v>39</v>
      </c>
      <c r="I82" s="15" t="s">
        <v>85</v>
      </c>
      <c r="J82" s="15" t="s">
        <v>41</v>
      </c>
      <c r="K82" s="15" t="s">
        <v>154</v>
      </c>
      <c r="L82" s="15">
        <v>1</v>
      </c>
      <c r="M82" s="16">
        <v>1.49</v>
      </c>
      <c r="N82" s="16">
        <v>1.49</v>
      </c>
      <c r="O82" s="16">
        <v>0.15</v>
      </c>
      <c r="P82" s="16">
        <v>1.34</v>
      </c>
      <c r="Q82" s="16">
        <v>0.67</v>
      </c>
      <c r="R82" s="16">
        <v>0.67</v>
      </c>
      <c r="S82" s="15" t="s">
        <v>93</v>
      </c>
      <c r="T82" s="15" t="s">
        <v>87</v>
      </c>
      <c r="U82" s="17">
        <v>4</v>
      </c>
    </row>
    <row r="83" spans="1:21" x14ac:dyDescent="0.8">
      <c r="A83" s="13" t="s">
        <v>205</v>
      </c>
      <c r="B83" s="14">
        <v>45374</v>
      </c>
      <c r="C83" s="15" t="s">
        <v>69</v>
      </c>
      <c r="D83" s="15" t="s">
        <v>35</v>
      </c>
      <c r="E83" s="15" t="s">
        <v>163</v>
      </c>
      <c r="F83" s="15" t="s">
        <v>164</v>
      </c>
      <c r="G83" s="15" t="s">
        <v>165</v>
      </c>
      <c r="H83" s="15" t="s">
        <v>39</v>
      </c>
      <c r="I83" s="15" t="s">
        <v>85</v>
      </c>
      <c r="J83" s="15" t="s">
        <v>78</v>
      </c>
      <c r="K83" s="15" t="s">
        <v>141</v>
      </c>
      <c r="L83" s="15">
        <v>1</v>
      </c>
      <c r="M83" s="16">
        <v>6.66</v>
      </c>
      <c r="N83" s="16">
        <v>6.66</v>
      </c>
      <c r="O83" s="16">
        <v>0.67</v>
      </c>
      <c r="P83" s="16">
        <v>5.99</v>
      </c>
      <c r="Q83" s="16">
        <v>2.76</v>
      </c>
      <c r="R83" s="16">
        <v>3.23</v>
      </c>
      <c r="S83" s="15" t="s">
        <v>72</v>
      </c>
      <c r="T83" s="15" t="s">
        <v>144</v>
      </c>
      <c r="U83" s="17">
        <v>4</v>
      </c>
    </row>
    <row r="84" spans="1:21" x14ac:dyDescent="0.8">
      <c r="A84" s="13" t="s">
        <v>206</v>
      </c>
      <c r="B84" s="14">
        <v>45379</v>
      </c>
      <c r="C84" s="15" t="s">
        <v>46</v>
      </c>
      <c r="D84" s="15" t="s">
        <v>47</v>
      </c>
      <c r="E84" s="15" t="s">
        <v>89</v>
      </c>
      <c r="F84" s="15" t="s">
        <v>90</v>
      </c>
      <c r="G84" s="15" t="s">
        <v>91</v>
      </c>
      <c r="H84" s="15" t="s">
        <v>39</v>
      </c>
      <c r="I84" s="15" t="s">
        <v>92</v>
      </c>
      <c r="J84" s="15" t="s">
        <v>52</v>
      </c>
      <c r="K84" s="15" t="s">
        <v>169</v>
      </c>
      <c r="L84" s="15">
        <v>3</v>
      </c>
      <c r="M84" s="16">
        <v>2.97</v>
      </c>
      <c r="N84" s="16">
        <v>8.91</v>
      </c>
      <c r="O84" s="16">
        <v>0.89</v>
      </c>
      <c r="P84" s="16">
        <v>8.02</v>
      </c>
      <c r="Q84" s="16">
        <v>3.2</v>
      </c>
      <c r="R84" s="16">
        <v>4.82</v>
      </c>
      <c r="S84" s="15" t="s">
        <v>43</v>
      </c>
      <c r="T84" s="15" t="s">
        <v>73</v>
      </c>
      <c r="U84" s="17">
        <v>3</v>
      </c>
    </row>
    <row r="85" spans="1:21" x14ac:dyDescent="0.8">
      <c r="A85" s="13" t="s">
        <v>207</v>
      </c>
      <c r="B85" s="14">
        <v>45380</v>
      </c>
      <c r="C85" s="15" t="s">
        <v>57</v>
      </c>
      <c r="D85" s="15" t="s">
        <v>35</v>
      </c>
      <c r="E85" s="15" t="s">
        <v>76</v>
      </c>
      <c r="F85" s="15" t="s">
        <v>77</v>
      </c>
      <c r="G85" s="15" t="s">
        <v>38</v>
      </c>
      <c r="H85" s="15" t="s">
        <v>39</v>
      </c>
      <c r="I85" s="15" t="s">
        <v>40</v>
      </c>
      <c r="J85" s="15" t="s">
        <v>41</v>
      </c>
      <c r="K85" s="15" t="s">
        <v>125</v>
      </c>
      <c r="L85" s="15">
        <v>1</v>
      </c>
      <c r="M85" s="16">
        <v>2.83</v>
      </c>
      <c r="N85" s="16">
        <v>2.83</v>
      </c>
      <c r="O85" s="16">
        <v>0</v>
      </c>
      <c r="P85" s="16">
        <v>2.83</v>
      </c>
      <c r="Q85" s="16">
        <v>1.33</v>
      </c>
      <c r="R85" s="16">
        <v>1.5</v>
      </c>
      <c r="S85" s="15" t="s">
        <v>54</v>
      </c>
      <c r="T85" s="15" t="s">
        <v>73</v>
      </c>
      <c r="U85" s="17">
        <v>5</v>
      </c>
    </row>
    <row r="86" spans="1:21" x14ac:dyDescent="0.8">
      <c r="A86" s="13" t="s">
        <v>208</v>
      </c>
      <c r="B86" s="14">
        <v>45380</v>
      </c>
      <c r="C86" s="15" t="s">
        <v>57</v>
      </c>
      <c r="D86" s="15" t="s">
        <v>65</v>
      </c>
      <c r="E86" s="15" t="s">
        <v>163</v>
      </c>
      <c r="F86" s="15" t="s">
        <v>164</v>
      </c>
      <c r="G86" s="15" t="s">
        <v>165</v>
      </c>
      <c r="H86" s="15" t="s">
        <v>39</v>
      </c>
      <c r="I86" s="15" t="s">
        <v>85</v>
      </c>
      <c r="J86" s="15" t="s">
        <v>41</v>
      </c>
      <c r="K86" s="15" t="s">
        <v>109</v>
      </c>
      <c r="L86" s="15">
        <v>1</v>
      </c>
      <c r="M86" s="16">
        <v>2.48</v>
      </c>
      <c r="N86" s="16">
        <v>2.48</v>
      </c>
      <c r="O86" s="16">
        <v>0</v>
      </c>
      <c r="P86" s="16">
        <v>2.48</v>
      </c>
      <c r="Q86" s="16">
        <v>1.17</v>
      </c>
      <c r="R86" s="16">
        <v>1.31</v>
      </c>
      <c r="S86" s="15" t="s">
        <v>43</v>
      </c>
      <c r="T86" s="15" t="s">
        <v>44</v>
      </c>
      <c r="U86" s="17">
        <v>4</v>
      </c>
    </row>
    <row r="87" spans="1:21" x14ac:dyDescent="0.8">
      <c r="A87" s="13" t="s">
        <v>209</v>
      </c>
      <c r="B87" s="14">
        <v>45381</v>
      </c>
      <c r="C87" s="15" t="s">
        <v>69</v>
      </c>
      <c r="D87" s="15" t="s">
        <v>65</v>
      </c>
      <c r="E87" s="15" t="s">
        <v>89</v>
      </c>
      <c r="F87" s="15" t="s">
        <v>90</v>
      </c>
      <c r="G87" s="15" t="s">
        <v>91</v>
      </c>
      <c r="H87" s="15" t="s">
        <v>39</v>
      </c>
      <c r="I87" s="15" t="s">
        <v>92</v>
      </c>
      <c r="J87" s="15" t="s">
        <v>52</v>
      </c>
      <c r="K87" s="15" t="s">
        <v>169</v>
      </c>
      <c r="L87" s="15">
        <v>3</v>
      </c>
      <c r="M87" s="16">
        <v>2.94</v>
      </c>
      <c r="N87" s="16">
        <v>8.82</v>
      </c>
      <c r="O87" s="16">
        <v>0.44</v>
      </c>
      <c r="P87" s="16">
        <v>8.3800000000000008</v>
      </c>
      <c r="Q87" s="16">
        <v>3.23</v>
      </c>
      <c r="R87" s="16">
        <v>5.15</v>
      </c>
      <c r="S87" s="15" t="s">
        <v>123</v>
      </c>
      <c r="T87" s="15" t="s">
        <v>73</v>
      </c>
      <c r="U87" s="17">
        <v>4</v>
      </c>
    </row>
    <row r="88" spans="1:21" x14ac:dyDescent="0.8">
      <c r="A88" s="13" t="s">
        <v>210</v>
      </c>
      <c r="B88" s="14">
        <v>45382</v>
      </c>
      <c r="C88" s="15" t="s">
        <v>99</v>
      </c>
      <c r="D88" s="15" t="s">
        <v>65</v>
      </c>
      <c r="E88" s="15" t="s">
        <v>104</v>
      </c>
      <c r="F88" s="15" t="s">
        <v>105</v>
      </c>
      <c r="G88" s="15" t="s">
        <v>106</v>
      </c>
      <c r="H88" s="15" t="s">
        <v>39</v>
      </c>
      <c r="I88" s="15" t="s">
        <v>85</v>
      </c>
      <c r="J88" s="15" t="s">
        <v>52</v>
      </c>
      <c r="K88" s="15" t="s">
        <v>169</v>
      </c>
      <c r="L88" s="15">
        <v>1</v>
      </c>
      <c r="M88" s="16">
        <v>3.08</v>
      </c>
      <c r="N88" s="16">
        <v>3.08</v>
      </c>
      <c r="O88" s="16">
        <v>0.62</v>
      </c>
      <c r="P88" s="16">
        <v>2.46</v>
      </c>
      <c r="Q88" s="16">
        <v>0.88</v>
      </c>
      <c r="R88" s="16">
        <v>1.58</v>
      </c>
      <c r="S88" s="15" t="s">
        <v>43</v>
      </c>
      <c r="T88" s="15" t="s">
        <v>55</v>
      </c>
      <c r="U88" s="17">
        <v>3</v>
      </c>
    </row>
    <row r="89" spans="1:21" x14ac:dyDescent="0.8">
      <c r="A89" s="13" t="s">
        <v>211</v>
      </c>
      <c r="B89" s="14">
        <v>45384</v>
      </c>
      <c r="C89" s="15" t="s">
        <v>81</v>
      </c>
      <c r="D89" s="15" t="s">
        <v>47</v>
      </c>
      <c r="E89" s="15" t="s">
        <v>82</v>
      </c>
      <c r="F89" s="15" t="s">
        <v>83</v>
      </c>
      <c r="G89" s="15" t="s">
        <v>84</v>
      </c>
      <c r="H89" s="15" t="s">
        <v>39</v>
      </c>
      <c r="I89" s="15" t="s">
        <v>85</v>
      </c>
      <c r="J89" s="15" t="s">
        <v>78</v>
      </c>
      <c r="K89" s="15" t="s">
        <v>138</v>
      </c>
      <c r="L89" s="15">
        <v>2</v>
      </c>
      <c r="M89" s="16">
        <v>4.4000000000000004</v>
      </c>
      <c r="N89" s="16">
        <v>8.8000000000000007</v>
      </c>
      <c r="O89" s="16">
        <v>0.44</v>
      </c>
      <c r="P89" s="16">
        <v>8.36</v>
      </c>
      <c r="Q89" s="16">
        <v>2.93</v>
      </c>
      <c r="R89" s="16">
        <v>5.43</v>
      </c>
      <c r="S89" s="15" t="s">
        <v>123</v>
      </c>
      <c r="T89" s="15" t="s">
        <v>44</v>
      </c>
      <c r="U89" s="17">
        <v>4</v>
      </c>
    </row>
    <row r="90" spans="1:21" x14ac:dyDescent="0.8">
      <c r="A90" s="13" t="s">
        <v>213</v>
      </c>
      <c r="B90" s="14">
        <v>45384</v>
      </c>
      <c r="C90" s="15" t="s">
        <v>81</v>
      </c>
      <c r="D90" s="15" t="s">
        <v>47</v>
      </c>
      <c r="E90" s="15" t="s">
        <v>76</v>
      </c>
      <c r="F90" s="15" t="s">
        <v>77</v>
      </c>
      <c r="G90" s="15" t="s">
        <v>38</v>
      </c>
      <c r="H90" s="15" t="s">
        <v>39</v>
      </c>
      <c r="I90" s="15" t="s">
        <v>40</v>
      </c>
      <c r="J90" s="15" t="s">
        <v>52</v>
      </c>
      <c r="K90" s="15" t="s">
        <v>53</v>
      </c>
      <c r="L90" s="15">
        <v>1</v>
      </c>
      <c r="M90" s="16">
        <v>2.5499999999999998</v>
      </c>
      <c r="N90" s="16">
        <v>2.5499999999999998</v>
      </c>
      <c r="O90" s="16">
        <v>0</v>
      </c>
      <c r="P90" s="16">
        <v>2.5499999999999998</v>
      </c>
      <c r="Q90" s="16">
        <v>1.36</v>
      </c>
      <c r="R90" s="16">
        <v>1.19</v>
      </c>
      <c r="S90" s="15" t="s">
        <v>72</v>
      </c>
      <c r="T90" s="15" t="s">
        <v>63</v>
      </c>
      <c r="U90" s="17">
        <v>5</v>
      </c>
    </row>
    <row r="91" spans="1:21" x14ac:dyDescent="0.8">
      <c r="A91" s="13" t="s">
        <v>214</v>
      </c>
      <c r="B91" s="14">
        <v>45384</v>
      </c>
      <c r="C91" s="15" t="s">
        <v>81</v>
      </c>
      <c r="D91" s="15" t="s">
        <v>70</v>
      </c>
      <c r="E91" s="15" t="s">
        <v>89</v>
      </c>
      <c r="F91" s="15" t="s">
        <v>90</v>
      </c>
      <c r="G91" s="15" t="s">
        <v>91</v>
      </c>
      <c r="H91" s="15" t="s">
        <v>39</v>
      </c>
      <c r="I91" s="15" t="s">
        <v>92</v>
      </c>
      <c r="J91" s="15" t="s">
        <v>100</v>
      </c>
      <c r="K91" s="15" t="s">
        <v>215</v>
      </c>
      <c r="L91" s="15">
        <v>2</v>
      </c>
      <c r="M91" s="16">
        <v>8.09</v>
      </c>
      <c r="N91" s="16">
        <v>16.18</v>
      </c>
      <c r="O91" s="16">
        <v>0</v>
      </c>
      <c r="P91" s="16">
        <v>16.18</v>
      </c>
      <c r="Q91" s="16">
        <v>6.61</v>
      </c>
      <c r="R91" s="16">
        <v>9.57</v>
      </c>
      <c r="S91" s="15" t="s">
        <v>54</v>
      </c>
      <c r="T91" s="15" t="s">
        <v>144</v>
      </c>
      <c r="U91" s="17">
        <v>5</v>
      </c>
    </row>
    <row r="92" spans="1:21" x14ac:dyDescent="0.8">
      <c r="A92" s="13" t="s">
        <v>216</v>
      </c>
      <c r="B92" s="14">
        <v>45385</v>
      </c>
      <c r="C92" s="15" t="s">
        <v>34</v>
      </c>
      <c r="D92" s="15" t="s">
        <v>35</v>
      </c>
      <c r="E92" s="15" t="s">
        <v>76</v>
      </c>
      <c r="F92" s="15" t="s">
        <v>77</v>
      </c>
      <c r="G92" s="15" t="s">
        <v>38</v>
      </c>
      <c r="H92" s="15" t="s">
        <v>39</v>
      </c>
      <c r="I92" s="15" t="s">
        <v>40</v>
      </c>
      <c r="J92" s="15" t="s">
        <v>100</v>
      </c>
      <c r="K92" s="15" t="s">
        <v>215</v>
      </c>
      <c r="L92" s="15">
        <v>3</v>
      </c>
      <c r="M92" s="16">
        <v>7.97</v>
      </c>
      <c r="N92" s="16">
        <v>23.91</v>
      </c>
      <c r="O92" s="16">
        <v>0</v>
      </c>
      <c r="P92" s="16">
        <v>23.91</v>
      </c>
      <c r="Q92" s="16">
        <v>8.58</v>
      </c>
      <c r="R92" s="16">
        <v>15.33</v>
      </c>
      <c r="S92" s="15" t="s">
        <v>93</v>
      </c>
      <c r="T92" s="15" t="s">
        <v>144</v>
      </c>
      <c r="U92" s="17">
        <v>5</v>
      </c>
    </row>
    <row r="93" spans="1:21" x14ac:dyDescent="0.8">
      <c r="A93" s="13" t="s">
        <v>217</v>
      </c>
      <c r="B93" s="14">
        <v>45388</v>
      </c>
      <c r="C93" s="15" t="s">
        <v>69</v>
      </c>
      <c r="D93" s="15" t="s">
        <v>70</v>
      </c>
      <c r="E93" s="15" t="s">
        <v>36</v>
      </c>
      <c r="F93" s="15" t="s">
        <v>37</v>
      </c>
      <c r="G93" s="15" t="s">
        <v>38</v>
      </c>
      <c r="H93" s="15" t="s">
        <v>39</v>
      </c>
      <c r="I93" s="15" t="s">
        <v>40</v>
      </c>
      <c r="J93" s="15" t="s">
        <v>61</v>
      </c>
      <c r="K93" s="15" t="s">
        <v>119</v>
      </c>
      <c r="L93" s="15">
        <v>1</v>
      </c>
      <c r="M93" s="16">
        <v>7.11</v>
      </c>
      <c r="N93" s="16">
        <v>7.11</v>
      </c>
      <c r="O93" s="16">
        <v>0</v>
      </c>
      <c r="P93" s="16">
        <v>7.11</v>
      </c>
      <c r="Q93" s="16">
        <v>3.55</v>
      </c>
      <c r="R93" s="16">
        <v>3.56</v>
      </c>
      <c r="S93" s="15" t="s">
        <v>54</v>
      </c>
      <c r="T93" s="15" t="s">
        <v>63</v>
      </c>
      <c r="U93" s="17">
        <v>5</v>
      </c>
    </row>
    <row r="94" spans="1:21" x14ac:dyDescent="0.8">
      <c r="A94" s="13" t="s">
        <v>218</v>
      </c>
      <c r="B94" s="14">
        <v>45388</v>
      </c>
      <c r="C94" s="15" t="s">
        <v>69</v>
      </c>
      <c r="D94" s="15" t="s">
        <v>35</v>
      </c>
      <c r="E94" s="15" t="s">
        <v>131</v>
      </c>
      <c r="F94" s="15" t="s">
        <v>132</v>
      </c>
      <c r="G94" s="15" t="s">
        <v>133</v>
      </c>
      <c r="H94" s="15" t="s">
        <v>39</v>
      </c>
      <c r="I94" s="15" t="s">
        <v>134</v>
      </c>
      <c r="J94" s="15" t="s">
        <v>52</v>
      </c>
      <c r="K94" s="15" t="s">
        <v>169</v>
      </c>
      <c r="L94" s="15">
        <v>1</v>
      </c>
      <c r="M94" s="16">
        <v>2.94</v>
      </c>
      <c r="N94" s="16">
        <v>2.94</v>
      </c>
      <c r="O94" s="16">
        <v>0.44</v>
      </c>
      <c r="P94" s="16">
        <v>2.5</v>
      </c>
      <c r="Q94" s="16">
        <v>1.03</v>
      </c>
      <c r="R94" s="16">
        <v>1.47</v>
      </c>
      <c r="S94" s="15" t="s">
        <v>102</v>
      </c>
      <c r="T94" s="15" t="s">
        <v>44</v>
      </c>
      <c r="U94" s="17">
        <v>5</v>
      </c>
    </row>
    <row r="95" spans="1:21" x14ac:dyDescent="0.8">
      <c r="A95" s="13" t="s">
        <v>219</v>
      </c>
      <c r="B95" s="14">
        <v>45388</v>
      </c>
      <c r="C95" s="15" t="s">
        <v>69</v>
      </c>
      <c r="D95" s="15" t="s">
        <v>47</v>
      </c>
      <c r="E95" s="15" t="s">
        <v>48</v>
      </c>
      <c r="F95" s="15" t="s">
        <v>49</v>
      </c>
      <c r="G95" s="15" t="s">
        <v>50</v>
      </c>
      <c r="H95" s="15" t="s">
        <v>39</v>
      </c>
      <c r="I95" s="15" t="s">
        <v>51</v>
      </c>
      <c r="J95" s="15" t="s">
        <v>41</v>
      </c>
      <c r="K95" s="15" t="s">
        <v>220</v>
      </c>
      <c r="L95" s="15">
        <v>3</v>
      </c>
      <c r="M95" s="16">
        <v>4.05</v>
      </c>
      <c r="N95" s="16">
        <v>12.15</v>
      </c>
      <c r="O95" s="16">
        <v>1.82</v>
      </c>
      <c r="P95" s="16">
        <v>10.33</v>
      </c>
      <c r="Q95" s="16">
        <v>5.31</v>
      </c>
      <c r="R95" s="16">
        <v>5.0199999999999996</v>
      </c>
      <c r="S95" s="15" t="s">
        <v>43</v>
      </c>
      <c r="T95" s="15" t="s">
        <v>44</v>
      </c>
      <c r="U95" s="17">
        <v>4</v>
      </c>
    </row>
    <row r="96" spans="1:21" x14ac:dyDescent="0.8">
      <c r="A96" s="13" t="s">
        <v>221</v>
      </c>
      <c r="B96" s="14">
        <v>45389</v>
      </c>
      <c r="C96" s="15" t="s">
        <v>99</v>
      </c>
      <c r="D96" s="15" t="s">
        <v>35</v>
      </c>
      <c r="E96" s="15" t="s">
        <v>163</v>
      </c>
      <c r="F96" s="15" t="s">
        <v>164</v>
      </c>
      <c r="G96" s="15" t="s">
        <v>165</v>
      </c>
      <c r="H96" s="15" t="s">
        <v>39</v>
      </c>
      <c r="I96" s="15" t="s">
        <v>85</v>
      </c>
      <c r="J96" s="15" t="s">
        <v>52</v>
      </c>
      <c r="K96" s="15" t="s">
        <v>180</v>
      </c>
      <c r="L96" s="15">
        <v>2</v>
      </c>
      <c r="M96" s="16">
        <v>3.82</v>
      </c>
      <c r="N96" s="16">
        <v>7.64</v>
      </c>
      <c r="O96" s="16">
        <v>0</v>
      </c>
      <c r="P96" s="16">
        <v>7.64</v>
      </c>
      <c r="Q96" s="16">
        <v>4.1100000000000003</v>
      </c>
      <c r="R96" s="16">
        <v>3.53</v>
      </c>
      <c r="S96" s="15" t="s">
        <v>123</v>
      </c>
      <c r="T96" s="15" t="s">
        <v>87</v>
      </c>
      <c r="U96" s="17">
        <v>5</v>
      </c>
    </row>
    <row r="97" spans="1:21" x14ac:dyDescent="0.8">
      <c r="A97" s="13" t="s">
        <v>222</v>
      </c>
      <c r="B97" s="14">
        <v>45389</v>
      </c>
      <c r="C97" s="15" t="s">
        <v>99</v>
      </c>
      <c r="D97" s="15" t="s">
        <v>65</v>
      </c>
      <c r="E97" s="15" t="s">
        <v>82</v>
      </c>
      <c r="F97" s="15" t="s">
        <v>83</v>
      </c>
      <c r="G97" s="15" t="s">
        <v>84</v>
      </c>
      <c r="H97" s="15" t="s">
        <v>39</v>
      </c>
      <c r="I97" s="15" t="s">
        <v>85</v>
      </c>
      <c r="J97" s="15" t="s">
        <v>100</v>
      </c>
      <c r="K97" s="15" t="s">
        <v>215</v>
      </c>
      <c r="L97" s="15">
        <v>2</v>
      </c>
      <c r="M97" s="16">
        <v>7.95</v>
      </c>
      <c r="N97" s="16">
        <v>15.9</v>
      </c>
      <c r="O97" s="16">
        <v>0</v>
      </c>
      <c r="P97" s="16">
        <v>15.9</v>
      </c>
      <c r="Q97" s="16">
        <v>7.88</v>
      </c>
      <c r="R97" s="16">
        <v>8.02</v>
      </c>
      <c r="S97" s="15" t="s">
        <v>54</v>
      </c>
      <c r="T97" s="15" t="s">
        <v>73</v>
      </c>
      <c r="U97" s="17">
        <v>3</v>
      </c>
    </row>
    <row r="98" spans="1:21" x14ac:dyDescent="0.8">
      <c r="A98" s="13" t="s">
        <v>223</v>
      </c>
      <c r="B98" s="14">
        <v>45389</v>
      </c>
      <c r="C98" s="15" t="s">
        <v>99</v>
      </c>
      <c r="D98" s="15" t="s">
        <v>47</v>
      </c>
      <c r="E98" s="15" t="s">
        <v>131</v>
      </c>
      <c r="F98" s="15" t="s">
        <v>132</v>
      </c>
      <c r="G98" s="15" t="s">
        <v>133</v>
      </c>
      <c r="H98" s="15" t="s">
        <v>39</v>
      </c>
      <c r="I98" s="15" t="s">
        <v>134</v>
      </c>
      <c r="J98" s="15" t="s">
        <v>61</v>
      </c>
      <c r="K98" s="15" t="s">
        <v>121</v>
      </c>
      <c r="L98" s="15">
        <v>4</v>
      </c>
      <c r="M98" s="16">
        <v>9.36</v>
      </c>
      <c r="N98" s="16">
        <v>37.44</v>
      </c>
      <c r="O98" s="16">
        <v>3.74</v>
      </c>
      <c r="P98" s="16">
        <v>33.700000000000003</v>
      </c>
      <c r="Q98" s="16">
        <v>14.59</v>
      </c>
      <c r="R98" s="16">
        <v>19.11</v>
      </c>
      <c r="S98" s="15" t="s">
        <v>43</v>
      </c>
      <c r="T98" s="15" t="s">
        <v>55</v>
      </c>
      <c r="U98" s="17">
        <v>4</v>
      </c>
    </row>
    <row r="99" spans="1:21" x14ac:dyDescent="0.8">
      <c r="A99" s="13" t="s">
        <v>224</v>
      </c>
      <c r="B99" s="14">
        <v>45391</v>
      </c>
      <c r="C99" s="15" t="s">
        <v>81</v>
      </c>
      <c r="D99" s="15" t="s">
        <v>65</v>
      </c>
      <c r="E99" s="15" t="s">
        <v>114</v>
      </c>
      <c r="F99" s="15" t="s">
        <v>115</v>
      </c>
      <c r="G99" s="15" t="s">
        <v>116</v>
      </c>
      <c r="H99" s="15" t="s">
        <v>39</v>
      </c>
      <c r="I99" s="15" t="s">
        <v>51</v>
      </c>
      <c r="J99" s="15" t="s">
        <v>61</v>
      </c>
      <c r="K99" s="15" t="s">
        <v>119</v>
      </c>
      <c r="L99" s="15">
        <v>2</v>
      </c>
      <c r="M99" s="16">
        <v>6.99</v>
      </c>
      <c r="N99" s="16">
        <v>13.98</v>
      </c>
      <c r="O99" s="16">
        <v>1.4</v>
      </c>
      <c r="P99" s="16">
        <v>12.58</v>
      </c>
      <c r="Q99" s="16">
        <v>5.52</v>
      </c>
      <c r="R99" s="16">
        <v>7.06</v>
      </c>
      <c r="S99" s="15" t="s">
        <v>93</v>
      </c>
      <c r="T99" s="15" t="s">
        <v>144</v>
      </c>
      <c r="U99" s="17">
        <v>2</v>
      </c>
    </row>
    <row r="100" spans="1:21" x14ac:dyDescent="0.8">
      <c r="A100" s="13" t="s">
        <v>225</v>
      </c>
      <c r="B100" s="14">
        <v>45392</v>
      </c>
      <c r="C100" s="15" t="s">
        <v>34</v>
      </c>
      <c r="D100" s="15" t="s">
        <v>35</v>
      </c>
      <c r="E100" s="15" t="s">
        <v>89</v>
      </c>
      <c r="F100" s="15" t="s">
        <v>90</v>
      </c>
      <c r="G100" s="15" t="s">
        <v>91</v>
      </c>
      <c r="H100" s="15" t="s">
        <v>39</v>
      </c>
      <c r="I100" s="15" t="s">
        <v>92</v>
      </c>
      <c r="J100" s="15" t="s">
        <v>41</v>
      </c>
      <c r="K100" s="15" t="s">
        <v>109</v>
      </c>
      <c r="L100" s="15">
        <v>1</v>
      </c>
      <c r="M100" s="16">
        <v>2.48</v>
      </c>
      <c r="N100" s="16">
        <v>2.48</v>
      </c>
      <c r="O100" s="16">
        <v>0</v>
      </c>
      <c r="P100" s="16">
        <v>2.48</v>
      </c>
      <c r="Q100" s="16">
        <v>1.04</v>
      </c>
      <c r="R100" s="16">
        <v>1.44</v>
      </c>
      <c r="S100" s="15" t="s">
        <v>54</v>
      </c>
      <c r="T100" s="15" t="s">
        <v>144</v>
      </c>
      <c r="U100" s="17">
        <v>1</v>
      </c>
    </row>
    <row r="101" spans="1:21" x14ac:dyDescent="0.8">
      <c r="A101" s="13" t="s">
        <v>226</v>
      </c>
      <c r="B101" s="14">
        <v>45395</v>
      </c>
      <c r="C101" s="15" t="s">
        <v>69</v>
      </c>
      <c r="D101" s="15" t="s">
        <v>65</v>
      </c>
      <c r="E101" s="15" t="s">
        <v>89</v>
      </c>
      <c r="F101" s="15" t="s">
        <v>90</v>
      </c>
      <c r="G101" s="15" t="s">
        <v>91</v>
      </c>
      <c r="H101" s="15" t="s">
        <v>39</v>
      </c>
      <c r="I101" s="15" t="s">
        <v>92</v>
      </c>
      <c r="J101" s="15" t="s">
        <v>66</v>
      </c>
      <c r="K101" s="15" t="s">
        <v>67</v>
      </c>
      <c r="L101" s="15">
        <v>2</v>
      </c>
      <c r="M101" s="16">
        <v>0.98</v>
      </c>
      <c r="N101" s="16">
        <v>1.96</v>
      </c>
      <c r="O101" s="16">
        <v>0.1</v>
      </c>
      <c r="P101" s="16">
        <v>1.86</v>
      </c>
      <c r="Q101" s="16">
        <v>0.87</v>
      </c>
      <c r="R101" s="16">
        <v>0.99</v>
      </c>
      <c r="S101" s="15" t="s">
        <v>93</v>
      </c>
      <c r="T101" s="15" t="s">
        <v>144</v>
      </c>
      <c r="U101" s="17">
        <v>5</v>
      </c>
    </row>
    <row r="102" spans="1:21" x14ac:dyDescent="0.8">
      <c r="A102" s="13" t="s">
        <v>227</v>
      </c>
      <c r="B102" s="14">
        <v>45396</v>
      </c>
      <c r="C102" s="15" t="s">
        <v>99</v>
      </c>
      <c r="D102" s="15" t="s">
        <v>65</v>
      </c>
      <c r="E102" s="15" t="s">
        <v>76</v>
      </c>
      <c r="F102" s="15" t="s">
        <v>77</v>
      </c>
      <c r="G102" s="15" t="s">
        <v>38</v>
      </c>
      <c r="H102" s="15" t="s">
        <v>39</v>
      </c>
      <c r="I102" s="15" t="s">
        <v>40</v>
      </c>
      <c r="J102" s="15" t="s">
        <v>61</v>
      </c>
      <c r="K102" s="15" t="s">
        <v>161</v>
      </c>
      <c r="L102" s="15">
        <v>1</v>
      </c>
      <c r="M102" s="16">
        <v>11.08</v>
      </c>
      <c r="N102" s="16">
        <v>11.08</v>
      </c>
      <c r="O102" s="16">
        <v>1.1100000000000001</v>
      </c>
      <c r="P102" s="16">
        <v>9.9700000000000006</v>
      </c>
      <c r="Q102" s="16">
        <v>4.8499999999999996</v>
      </c>
      <c r="R102" s="16">
        <v>5.12</v>
      </c>
      <c r="S102" s="15" t="s">
        <v>102</v>
      </c>
      <c r="T102" s="15" t="s">
        <v>55</v>
      </c>
      <c r="U102" s="17">
        <v>4</v>
      </c>
    </row>
    <row r="103" spans="1:21" x14ac:dyDescent="0.8">
      <c r="A103" s="13" t="s">
        <v>228</v>
      </c>
      <c r="B103" s="14">
        <v>45397</v>
      </c>
      <c r="C103" s="15" t="s">
        <v>75</v>
      </c>
      <c r="D103" s="15" t="s">
        <v>47</v>
      </c>
      <c r="E103" s="15" t="s">
        <v>36</v>
      </c>
      <c r="F103" s="15" t="s">
        <v>37</v>
      </c>
      <c r="G103" s="15" t="s">
        <v>38</v>
      </c>
      <c r="H103" s="15" t="s">
        <v>39</v>
      </c>
      <c r="I103" s="15" t="s">
        <v>40</v>
      </c>
      <c r="J103" s="15" t="s">
        <v>78</v>
      </c>
      <c r="K103" s="15" t="s">
        <v>97</v>
      </c>
      <c r="L103" s="15">
        <v>3</v>
      </c>
      <c r="M103" s="16">
        <v>3.34</v>
      </c>
      <c r="N103" s="16">
        <v>10.02</v>
      </c>
      <c r="O103" s="16">
        <v>0</v>
      </c>
      <c r="P103" s="16">
        <v>10.02</v>
      </c>
      <c r="Q103" s="16">
        <v>4.07</v>
      </c>
      <c r="R103" s="16">
        <v>5.95</v>
      </c>
      <c r="S103" s="15" t="s">
        <v>93</v>
      </c>
      <c r="T103" s="15" t="s">
        <v>144</v>
      </c>
      <c r="U103" s="17">
        <v>4</v>
      </c>
    </row>
    <row r="104" spans="1:21" x14ac:dyDescent="0.8">
      <c r="A104" s="13" t="s">
        <v>229</v>
      </c>
      <c r="B104" s="14">
        <v>45397</v>
      </c>
      <c r="C104" s="15" t="s">
        <v>75</v>
      </c>
      <c r="D104" s="15" t="s">
        <v>65</v>
      </c>
      <c r="E104" s="15" t="s">
        <v>76</v>
      </c>
      <c r="F104" s="15" t="s">
        <v>77</v>
      </c>
      <c r="G104" s="15" t="s">
        <v>38</v>
      </c>
      <c r="H104" s="15" t="s">
        <v>39</v>
      </c>
      <c r="I104" s="15" t="s">
        <v>40</v>
      </c>
      <c r="J104" s="15" t="s">
        <v>52</v>
      </c>
      <c r="K104" s="15" t="s">
        <v>71</v>
      </c>
      <c r="L104" s="15">
        <v>5</v>
      </c>
      <c r="M104" s="16">
        <v>3.98</v>
      </c>
      <c r="N104" s="16">
        <v>19.899999999999999</v>
      </c>
      <c r="O104" s="16">
        <v>0</v>
      </c>
      <c r="P104" s="16">
        <v>19.899999999999999</v>
      </c>
      <c r="Q104" s="16">
        <v>10.09</v>
      </c>
      <c r="R104" s="16">
        <v>9.81</v>
      </c>
      <c r="S104" s="15" t="s">
        <v>72</v>
      </c>
      <c r="T104" s="15" t="s">
        <v>63</v>
      </c>
      <c r="U104" s="17">
        <v>4</v>
      </c>
    </row>
    <row r="105" spans="1:21" x14ac:dyDescent="0.8">
      <c r="A105" s="13" t="s">
        <v>230</v>
      </c>
      <c r="B105" s="14">
        <v>45397</v>
      </c>
      <c r="C105" s="15" t="s">
        <v>75</v>
      </c>
      <c r="D105" s="15" t="s">
        <v>65</v>
      </c>
      <c r="E105" s="15" t="s">
        <v>89</v>
      </c>
      <c r="F105" s="15" t="s">
        <v>90</v>
      </c>
      <c r="G105" s="15" t="s">
        <v>91</v>
      </c>
      <c r="H105" s="15" t="s">
        <v>39</v>
      </c>
      <c r="I105" s="15" t="s">
        <v>92</v>
      </c>
      <c r="J105" s="15" t="s">
        <v>78</v>
      </c>
      <c r="K105" s="15" t="s">
        <v>138</v>
      </c>
      <c r="L105" s="15">
        <v>2</v>
      </c>
      <c r="M105" s="16">
        <v>4.47</v>
      </c>
      <c r="N105" s="16">
        <v>8.94</v>
      </c>
      <c r="O105" s="16">
        <v>0.45</v>
      </c>
      <c r="P105" s="16">
        <v>8.49</v>
      </c>
      <c r="Q105" s="16">
        <v>3.51</v>
      </c>
      <c r="R105" s="16">
        <v>4.9800000000000004</v>
      </c>
      <c r="S105" s="15" t="s">
        <v>123</v>
      </c>
      <c r="T105" s="15" t="s">
        <v>144</v>
      </c>
      <c r="U105" s="17">
        <v>3</v>
      </c>
    </row>
    <row r="106" spans="1:21" x14ac:dyDescent="0.8">
      <c r="A106" s="13" t="s">
        <v>231</v>
      </c>
      <c r="B106" s="14">
        <v>45401</v>
      </c>
      <c r="C106" s="15" t="s">
        <v>57</v>
      </c>
      <c r="D106" s="15" t="s">
        <v>70</v>
      </c>
      <c r="E106" s="15" t="s">
        <v>114</v>
      </c>
      <c r="F106" s="15" t="s">
        <v>115</v>
      </c>
      <c r="G106" s="15" t="s">
        <v>116</v>
      </c>
      <c r="H106" s="15" t="s">
        <v>39</v>
      </c>
      <c r="I106" s="15" t="s">
        <v>51</v>
      </c>
      <c r="J106" s="15" t="s">
        <v>100</v>
      </c>
      <c r="K106" s="15" t="s">
        <v>111</v>
      </c>
      <c r="L106" s="15">
        <v>1</v>
      </c>
      <c r="M106" s="16">
        <v>6.16</v>
      </c>
      <c r="N106" s="16">
        <v>6.16</v>
      </c>
      <c r="O106" s="16">
        <v>0</v>
      </c>
      <c r="P106" s="16">
        <v>6.16</v>
      </c>
      <c r="Q106" s="16">
        <v>3.12</v>
      </c>
      <c r="R106" s="16">
        <v>3.04</v>
      </c>
      <c r="S106" s="15" t="s">
        <v>72</v>
      </c>
      <c r="T106" s="15" t="s">
        <v>55</v>
      </c>
      <c r="U106" s="17">
        <v>5</v>
      </c>
    </row>
    <row r="107" spans="1:21" x14ac:dyDescent="0.8">
      <c r="A107" s="13" t="s">
        <v>232</v>
      </c>
      <c r="B107" s="14">
        <v>45402</v>
      </c>
      <c r="C107" s="15" t="s">
        <v>69</v>
      </c>
      <c r="D107" s="15" t="s">
        <v>35</v>
      </c>
      <c r="E107" s="15" t="s">
        <v>114</v>
      </c>
      <c r="F107" s="15" t="s">
        <v>115</v>
      </c>
      <c r="G107" s="15" t="s">
        <v>116</v>
      </c>
      <c r="H107" s="15" t="s">
        <v>39</v>
      </c>
      <c r="I107" s="15" t="s">
        <v>51</v>
      </c>
      <c r="J107" s="15" t="s">
        <v>78</v>
      </c>
      <c r="K107" s="15" t="s">
        <v>79</v>
      </c>
      <c r="L107" s="15">
        <v>2</v>
      </c>
      <c r="M107" s="16">
        <v>3.56</v>
      </c>
      <c r="N107" s="16">
        <v>7.12</v>
      </c>
      <c r="O107" s="16">
        <v>0</v>
      </c>
      <c r="P107" s="16">
        <v>7.12</v>
      </c>
      <c r="Q107" s="16">
        <v>3.53</v>
      </c>
      <c r="R107" s="16">
        <v>3.59</v>
      </c>
      <c r="S107" s="15" t="s">
        <v>123</v>
      </c>
      <c r="T107" s="15" t="s">
        <v>63</v>
      </c>
      <c r="U107" s="17">
        <v>5</v>
      </c>
    </row>
    <row r="108" spans="1:21" x14ac:dyDescent="0.8">
      <c r="A108" s="13" t="s">
        <v>233</v>
      </c>
      <c r="B108" s="14">
        <v>45404</v>
      </c>
      <c r="C108" s="15" t="s">
        <v>75</v>
      </c>
      <c r="D108" s="15" t="s">
        <v>70</v>
      </c>
      <c r="E108" s="15" t="s">
        <v>58</v>
      </c>
      <c r="F108" s="15" t="s">
        <v>59</v>
      </c>
      <c r="G108" s="15" t="s">
        <v>60</v>
      </c>
      <c r="H108" s="15" t="s">
        <v>39</v>
      </c>
      <c r="I108" s="15" t="s">
        <v>40</v>
      </c>
      <c r="J108" s="15" t="s">
        <v>100</v>
      </c>
      <c r="K108" s="15" t="s">
        <v>101</v>
      </c>
      <c r="L108" s="15">
        <v>1</v>
      </c>
      <c r="M108" s="16">
        <v>3.45</v>
      </c>
      <c r="N108" s="16">
        <v>3.45</v>
      </c>
      <c r="O108" s="16">
        <v>0.35</v>
      </c>
      <c r="P108" s="16">
        <v>3.1</v>
      </c>
      <c r="Q108" s="16">
        <v>1.44</v>
      </c>
      <c r="R108" s="16">
        <v>1.66</v>
      </c>
      <c r="S108" s="15" t="s">
        <v>72</v>
      </c>
      <c r="T108" s="15" t="s">
        <v>87</v>
      </c>
      <c r="U108" s="17">
        <v>3</v>
      </c>
    </row>
    <row r="109" spans="1:21" x14ac:dyDescent="0.8">
      <c r="A109" s="13" t="s">
        <v>234</v>
      </c>
      <c r="B109" s="14">
        <v>45405</v>
      </c>
      <c r="C109" s="15" t="s">
        <v>81</v>
      </c>
      <c r="D109" s="15" t="s">
        <v>70</v>
      </c>
      <c r="E109" s="15" t="s">
        <v>163</v>
      </c>
      <c r="F109" s="15" t="s">
        <v>164</v>
      </c>
      <c r="G109" s="15" t="s">
        <v>165</v>
      </c>
      <c r="H109" s="15" t="s">
        <v>39</v>
      </c>
      <c r="I109" s="15" t="s">
        <v>85</v>
      </c>
      <c r="J109" s="15" t="s">
        <v>41</v>
      </c>
      <c r="K109" s="15" t="s">
        <v>154</v>
      </c>
      <c r="L109" s="15">
        <v>4</v>
      </c>
      <c r="M109" s="16">
        <v>1.48</v>
      </c>
      <c r="N109" s="16">
        <v>5.92</v>
      </c>
      <c r="O109" s="16">
        <v>0.89</v>
      </c>
      <c r="P109" s="16">
        <v>5.03</v>
      </c>
      <c r="Q109" s="16">
        <v>2.13</v>
      </c>
      <c r="R109" s="16">
        <v>2.9</v>
      </c>
      <c r="S109" s="15" t="s">
        <v>43</v>
      </c>
      <c r="T109" s="15" t="s">
        <v>55</v>
      </c>
      <c r="U109" s="17">
        <v>5</v>
      </c>
    </row>
    <row r="110" spans="1:21" x14ac:dyDescent="0.8">
      <c r="A110" s="13" t="s">
        <v>235</v>
      </c>
      <c r="B110" s="14">
        <v>45407</v>
      </c>
      <c r="C110" s="15" t="s">
        <v>46</v>
      </c>
      <c r="D110" s="15" t="s">
        <v>47</v>
      </c>
      <c r="E110" s="15" t="s">
        <v>36</v>
      </c>
      <c r="F110" s="15" t="s">
        <v>37</v>
      </c>
      <c r="G110" s="15" t="s">
        <v>38</v>
      </c>
      <c r="H110" s="15" t="s">
        <v>39</v>
      </c>
      <c r="I110" s="15" t="s">
        <v>40</v>
      </c>
      <c r="J110" s="15" t="s">
        <v>100</v>
      </c>
      <c r="K110" s="15" t="s">
        <v>185</v>
      </c>
      <c r="L110" s="15">
        <v>2</v>
      </c>
      <c r="M110" s="16">
        <v>6.57</v>
      </c>
      <c r="N110" s="16">
        <v>13.14</v>
      </c>
      <c r="O110" s="16">
        <v>0</v>
      </c>
      <c r="P110" s="16">
        <v>13.14</v>
      </c>
      <c r="Q110" s="16">
        <v>6.62</v>
      </c>
      <c r="R110" s="16">
        <v>6.52</v>
      </c>
      <c r="S110" s="15" t="s">
        <v>102</v>
      </c>
      <c r="T110" s="15" t="s">
        <v>87</v>
      </c>
      <c r="U110" s="17">
        <v>4</v>
      </c>
    </row>
    <row r="111" spans="1:21" x14ac:dyDescent="0.8">
      <c r="A111" s="13" t="s">
        <v>236</v>
      </c>
      <c r="B111" s="14">
        <v>45410</v>
      </c>
      <c r="C111" s="15" t="s">
        <v>99</v>
      </c>
      <c r="D111" s="15" t="s">
        <v>65</v>
      </c>
      <c r="E111" s="15" t="s">
        <v>114</v>
      </c>
      <c r="F111" s="15" t="s">
        <v>115</v>
      </c>
      <c r="G111" s="15" t="s">
        <v>116</v>
      </c>
      <c r="H111" s="15" t="s">
        <v>39</v>
      </c>
      <c r="I111" s="15" t="s">
        <v>51</v>
      </c>
      <c r="J111" s="15" t="s">
        <v>52</v>
      </c>
      <c r="K111" s="15" t="s">
        <v>180</v>
      </c>
      <c r="L111" s="15">
        <v>1</v>
      </c>
      <c r="M111" s="16">
        <v>3.83</v>
      </c>
      <c r="N111" s="16">
        <v>3.83</v>
      </c>
      <c r="O111" s="16">
        <v>0</v>
      </c>
      <c r="P111" s="16">
        <v>3.83</v>
      </c>
      <c r="Q111" s="16">
        <v>1.91</v>
      </c>
      <c r="R111" s="16">
        <v>1.92</v>
      </c>
      <c r="S111" s="15" t="s">
        <v>93</v>
      </c>
      <c r="T111" s="15" t="s">
        <v>63</v>
      </c>
      <c r="U111" s="17">
        <v>4</v>
      </c>
    </row>
    <row r="112" spans="1:21" x14ac:dyDescent="0.8">
      <c r="A112" s="13" t="s">
        <v>237</v>
      </c>
      <c r="B112" s="14">
        <v>45411</v>
      </c>
      <c r="C112" s="15" t="s">
        <v>75</v>
      </c>
      <c r="D112" s="15" t="s">
        <v>47</v>
      </c>
      <c r="E112" s="15" t="s">
        <v>163</v>
      </c>
      <c r="F112" s="15" t="s">
        <v>164</v>
      </c>
      <c r="G112" s="15" t="s">
        <v>165</v>
      </c>
      <c r="H112" s="15" t="s">
        <v>39</v>
      </c>
      <c r="I112" s="15" t="s">
        <v>85</v>
      </c>
      <c r="J112" s="15" t="s">
        <v>41</v>
      </c>
      <c r="K112" s="15" t="s">
        <v>125</v>
      </c>
      <c r="L112" s="15">
        <v>1</v>
      </c>
      <c r="M112" s="16">
        <v>2.85</v>
      </c>
      <c r="N112" s="16">
        <v>2.85</v>
      </c>
      <c r="O112" s="16">
        <v>0</v>
      </c>
      <c r="P112" s="16">
        <v>2.85</v>
      </c>
      <c r="Q112" s="16">
        <v>1.07</v>
      </c>
      <c r="R112" s="16">
        <v>1.78</v>
      </c>
      <c r="S112" s="15" t="s">
        <v>123</v>
      </c>
      <c r="T112" s="15" t="s">
        <v>44</v>
      </c>
      <c r="U112" s="17">
        <v>5</v>
      </c>
    </row>
    <row r="113" spans="1:21" x14ac:dyDescent="0.8">
      <c r="A113" s="13" t="s">
        <v>238</v>
      </c>
      <c r="B113" s="14">
        <v>45411</v>
      </c>
      <c r="C113" s="15" t="s">
        <v>75</v>
      </c>
      <c r="D113" s="15" t="s">
        <v>65</v>
      </c>
      <c r="E113" s="15" t="s">
        <v>131</v>
      </c>
      <c r="F113" s="15" t="s">
        <v>132</v>
      </c>
      <c r="G113" s="15" t="s">
        <v>133</v>
      </c>
      <c r="H113" s="15" t="s">
        <v>39</v>
      </c>
      <c r="I113" s="15" t="s">
        <v>134</v>
      </c>
      <c r="J113" s="15" t="s">
        <v>41</v>
      </c>
      <c r="K113" s="15" t="s">
        <v>239</v>
      </c>
      <c r="L113" s="15">
        <v>2</v>
      </c>
      <c r="M113" s="16">
        <v>1.93</v>
      </c>
      <c r="N113" s="16">
        <v>3.86</v>
      </c>
      <c r="O113" s="16">
        <v>0.57999999999999996</v>
      </c>
      <c r="P113" s="16">
        <v>3.28</v>
      </c>
      <c r="Q113" s="16">
        <v>1.28</v>
      </c>
      <c r="R113" s="16">
        <v>2</v>
      </c>
      <c r="S113" s="15" t="s">
        <v>93</v>
      </c>
      <c r="T113" s="15" t="s">
        <v>55</v>
      </c>
      <c r="U113" s="17">
        <v>3</v>
      </c>
    </row>
    <row r="114" spans="1:21" x14ac:dyDescent="0.8">
      <c r="A114" s="13" t="s">
        <v>240</v>
      </c>
      <c r="B114" s="14">
        <v>45411</v>
      </c>
      <c r="C114" s="15" t="s">
        <v>75</v>
      </c>
      <c r="D114" s="15" t="s">
        <v>35</v>
      </c>
      <c r="E114" s="15" t="s">
        <v>58</v>
      </c>
      <c r="F114" s="15" t="s">
        <v>59</v>
      </c>
      <c r="G114" s="15" t="s">
        <v>60</v>
      </c>
      <c r="H114" s="15" t="s">
        <v>39</v>
      </c>
      <c r="I114" s="15" t="s">
        <v>40</v>
      </c>
      <c r="J114" s="15" t="s">
        <v>52</v>
      </c>
      <c r="K114" s="15" t="s">
        <v>169</v>
      </c>
      <c r="L114" s="15">
        <v>2</v>
      </c>
      <c r="M114" s="16">
        <v>3.07</v>
      </c>
      <c r="N114" s="16">
        <v>6.14</v>
      </c>
      <c r="O114" s="16">
        <v>0</v>
      </c>
      <c r="P114" s="16">
        <v>6.14</v>
      </c>
      <c r="Q114" s="16">
        <v>2.82</v>
      </c>
      <c r="R114" s="16">
        <v>3.32</v>
      </c>
      <c r="S114" s="15" t="s">
        <v>54</v>
      </c>
      <c r="T114" s="15" t="s">
        <v>44</v>
      </c>
      <c r="U114" s="17">
        <v>5</v>
      </c>
    </row>
    <row r="115" spans="1:21" x14ac:dyDescent="0.8">
      <c r="A115" s="13" t="s">
        <v>241</v>
      </c>
      <c r="B115" s="14">
        <v>45411</v>
      </c>
      <c r="C115" s="15" t="s">
        <v>75</v>
      </c>
      <c r="D115" s="15" t="s">
        <v>70</v>
      </c>
      <c r="E115" s="15" t="s">
        <v>131</v>
      </c>
      <c r="F115" s="15" t="s">
        <v>132</v>
      </c>
      <c r="G115" s="15" t="s">
        <v>133</v>
      </c>
      <c r="H115" s="15" t="s">
        <v>39</v>
      </c>
      <c r="I115" s="15" t="s">
        <v>134</v>
      </c>
      <c r="J115" s="15" t="s">
        <v>66</v>
      </c>
      <c r="K115" s="15" t="s">
        <v>67</v>
      </c>
      <c r="L115" s="15">
        <v>2</v>
      </c>
      <c r="M115" s="16">
        <v>1.01</v>
      </c>
      <c r="N115" s="16">
        <v>2.02</v>
      </c>
      <c r="O115" s="16">
        <v>0</v>
      </c>
      <c r="P115" s="16">
        <v>2.02</v>
      </c>
      <c r="Q115" s="16">
        <v>0.83</v>
      </c>
      <c r="R115" s="16">
        <v>1.19</v>
      </c>
      <c r="S115" s="15" t="s">
        <v>93</v>
      </c>
      <c r="T115" s="15" t="s">
        <v>73</v>
      </c>
      <c r="U115" s="17">
        <v>3</v>
      </c>
    </row>
    <row r="116" spans="1:21" x14ac:dyDescent="0.8">
      <c r="A116" s="13" t="s">
        <v>242</v>
      </c>
      <c r="B116" s="14">
        <v>45411</v>
      </c>
      <c r="C116" s="15" t="s">
        <v>75</v>
      </c>
      <c r="D116" s="15" t="s">
        <v>70</v>
      </c>
      <c r="E116" s="15" t="s">
        <v>48</v>
      </c>
      <c r="F116" s="15" t="s">
        <v>49</v>
      </c>
      <c r="G116" s="15" t="s">
        <v>50</v>
      </c>
      <c r="H116" s="15" t="s">
        <v>39</v>
      </c>
      <c r="I116" s="15" t="s">
        <v>51</v>
      </c>
      <c r="J116" s="15" t="s">
        <v>100</v>
      </c>
      <c r="K116" s="15" t="s">
        <v>243</v>
      </c>
      <c r="L116" s="15">
        <v>4</v>
      </c>
      <c r="M116" s="16">
        <v>5.71</v>
      </c>
      <c r="N116" s="16">
        <v>22.84</v>
      </c>
      <c r="O116" s="16">
        <v>3.43</v>
      </c>
      <c r="P116" s="16">
        <v>19.41</v>
      </c>
      <c r="Q116" s="16">
        <v>7.65</v>
      </c>
      <c r="R116" s="16">
        <v>11.76</v>
      </c>
      <c r="S116" s="15" t="s">
        <v>102</v>
      </c>
      <c r="T116" s="15" t="s">
        <v>73</v>
      </c>
      <c r="U116" s="17">
        <v>5</v>
      </c>
    </row>
    <row r="117" spans="1:21" x14ac:dyDescent="0.8">
      <c r="A117" s="13" t="s">
        <v>244</v>
      </c>
      <c r="B117" s="14">
        <v>45413</v>
      </c>
      <c r="C117" s="15" t="s">
        <v>34</v>
      </c>
      <c r="D117" s="15" t="s">
        <v>70</v>
      </c>
      <c r="E117" s="15" t="s">
        <v>58</v>
      </c>
      <c r="F117" s="15" t="s">
        <v>59</v>
      </c>
      <c r="G117" s="15" t="s">
        <v>60</v>
      </c>
      <c r="H117" s="15" t="s">
        <v>39</v>
      </c>
      <c r="I117" s="15" t="s">
        <v>40</v>
      </c>
      <c r="J117" s="15" t="s">
        <v>52</v>
      </c>
      <c r="K117" s="15" t="s">
        <v>53</v>
      </c>
      <c r="L117" s="15">
        <v>1</v>
      </c>
      <c r="M117" s="16">
        <v>2.44</v>
      </c>
      <c r="N117" s="16">
        <v>2.44</v>
      </c>
      <c r="O117" s="16">
        <v>0.37</v>
      </c>
      <c r="P117" s="16">
        <v>2.0699999999999998</v>
      </c>
      <c r="Q117" s="16">
        <v>0.96</v>
      </c>
      <c r="R117" s="16">
        <v>1.1100000000000001</v>
      </c>
      <c r="S117" s="15" t="s">
        <v>72</v>
      </c>
      <c r="T117" s="15" t="s">
        <v>44</v>
      </c>
      <c r="U117" s="17">
        <v>5</v>
      </c>
    </row>
    <row r="118" spans="1:21" x14ac:dyDescent="0.8">
      <c r="A118" s="13" t="s">
        <v>245</v>
      </c>
      <c r="B118" s="14">
        <v>45414</v>
      </c>
      <c r="C118" s="15" t="s">
        <v>46</v>
      </c>
      <c r="D118" s="15" t="s">
        <v>70</v>
      </c>
      <c r="E118" s="15" t="s">
        <v>58</v>
      </c>
      <c r="F118" s="15" t="s">
        <v>59</v>
      </c>
      <c r="G118" s="15" t="s">
        <v>60</v>
      </c>
      <c r="H118" s="15" t="s">
        <v>39</v>
      </c>
      <c r="I118" s="15" t="s">
        <v>40</v>
      </c>
      <c r="J118" s="15" t="s">
        <v>78</v>
      </c>
      <c r="K118" s="15" t="s">
        <v>79</v>
      </c>
      <c r="L118" s="15">
        <v>2</v>
      </c>
      <c r="M118" s="16">
        <v>3.45</v>
      </c>
      <c r="N118" s="16">
        <v>6.9</v>
      </c>
      <c r="O118" s="16">
        <v>0</v>
      </c>
      <c r="P118" s="16">
        <v>6.9</v>
      </c>
      <c r="Q118" s="16">
        <v>3.45</v>
      </c>
      <c r="R118" s="16">
        <v>3.45</v>
      </c>
      <c r="S118" s="15" t="s">
        <v>102</v>
      </c>
      <c r="T118" s="15" t="s">
        <v>144</v>
      </c>
      <c r="U118" s="17">
        <v>4</v>
      </c>
    </row>
    <row r="119" spans="1:21" x14ac:dyDescent="0.8">
      <c r="A119" s="13" t="s">
        <v>246</v>
      </c>
      <c r="B119" s="14">
        <v>45414</v>
      </c>
      <c r="C119" s="15" t="s">
        <v>46</v>
      </c>
      <c r="D119" s="15" t="s">
        <v>65</v>
      </c>
      <c r="E119" s="15" t="s">
        <v>104</v>
      </c>
      <c r="F119" s="15" t="s">
        <v>105</v>
      </c>
      <c r="G119" s="15" t="s">
        <v>106</v>
      </c>
      <c r="H119" s="15" t="s">
        <v>39</v>
      </c>
      <c r="I119" s="15" t="s">
        <v>85</v>
      </c>
      <c r="J119" s="15" t="s">
        <v>41</v>
      </c>
      <c r="K119" s="15" t="s">
        <v>239</v>
      </c>
      <c r="L119" s="15">
        <v>4</v>
      </c>
      <c r="M119" s="16">
        <v>1.94</v>
      </c>
      <c r="N119" s="16">
        <v>7.76</v>
      </c>
      <c r="O119" s="16">
        <v>0.39</v>
      </c>
      <c r="P119" s="16">
        <v>7.37</v>
      </c>
      <c r="Q119" s="16">
        <v>2.66</v>
      </c>
      <c r="R119" s="16">
        <v>4.71</v>
      </c>
      <c r="S119" s="15" t="s">
        <v>54</v>
      </c>
      <c r="T119" s="15" t="s">
        <v>73</v>
      </c>
      <c r="U119" s="17">
        <v>5</v>
      </c>
    </row>
    <row r="120" spans="1:21" x14ac:dyDescent="0.8">
      <c r="A120" s="13" t="s">
        <v>247</v>
      </c>
      <c r="B120" s="14">
        <v>45414</v>
      </c>
      <c r="C120" s="15" t="s">
        <v>46</v>
      </c>
      <c r="D120" s="15" t="s">
        <v>65</v>
      </c>
      <c r="E120" s="15" t="s">
        <v>76</v>
      </c>
      <c r="F120" s="15" t="s">
        <v>77</v>
      </c>
      <c r="G120" s="15" t="s">
        <v>38</v>
      </c>
      <c r="H120" s="15" t="s">
        <v>39</v>
      </c>
      <c r="I120" s="15" t="s">
        <v>40</v>
      </c>
      <c r="J120" s="15" t="s">
        <v>78</v>
      </c>
      <c r="K120" s="15" t="s">
        <v>143</v>
      </c>
      <c r="L120" s="15">
        <v>2</v>
      </c>
      <c r="M120" s="16">
        <v>2.74</v>
      </c>
      <c r="N120" s="16">
        <v>5.48</v>
      </c>
      <c r="O120" s="16">
        <v>0.27</v>
      </c>
      <c r="P120" s="16">
        <v>5.21</v>
      </c>
      <c r="Q120" s="16">
        <v>2.62</v>
      </c>
      <c r="R120" s="16">
        <v>2.59</v>
      </c>
      <c r="S120" s="15" t="s">
        <v>93</v>
      </c>
      <c r="T120" s="15" t="s">
        <v>87</v>
      </c>
      <c r="U120" s="17">
        <v>5</v>
      </c>
    </row>
    <row r="121" spans="1:21" x14ac:dyDescent="0.8">
      <c r="A121" s="13" t="s">
        <v>248</v>
      </c>
      <c r="B121" s="14">
        <v>45417</v>
      </c>
      <c r="C121" s="15" t="s">
        <v>99</v>
      </c>
      <c r="D121" s="15" t="s">
        <v>35</v>
      </c>
      <c r="E121" s="15" t="s">
        <v>76</v>
      </c>
      <c r="F121" s="15" t="s">
        <v>77</v>
      </c>
      <c r="G121" s="15" t="s">
        <v>38</v>
      </c>
      <c r="H121" s="15" t="s">
        <v>39</v>
      </c>
      <c r="I121" s="15" t="s">
        <v>40</v>
      </c>
      <c r="J121" s="15" t="s">
        <v>78</v>
      </c>
      <c r="K121" s="15" t="s">
        <v>141</v>
      </c>
      <c r="L121" s="15">
        <v>1</v>
      </c>
      <c r="M121" s="16">
        <v>6.66</v>
      </c>
      <c r="N121" s="16">
        <v>6.66</v>
      </c>
      <c r="O121" s="16">
        <v>0.33</v>
      </c>
      <c r="P121" s="16">
        <v>6.33</v>
      </c>
      <c r="Q121" s="16">
        <v>2.4900000000000002</v>
      </c>
      <c r="R121" s="16">
        <v>3.84</v>
      </c>
      <c r="S121" s="15" t="s">
        <v>123</v>
      </c>
      <c r="T121" s="15" t="s">
        <v>144</v>
      </c>
      <c r="U121" s="17">
        <v>5</v>
      </c>
    </row>
    <row r="122" spans="1:21" x14ac:dyDescent="0.8">
      <c r="A122" s="13" t="s">
        <v>249</v>
      </c>
      <c r="B122" s="14">
        <v>45421</v>
      </c>
      <c r="C122" s="15" t="s">
        <v>46</v>
      </c>
      <c r="D122" s="15" t="s">
        <v>35</v>
      </c>
      <c r="E122" s="15" t="s">
        <v>163</v>
      </c>
      <c r="F122" s="15" t="s">
        <v>164</v>
      </c>
      <c r="G122" s="15" t="s">
        <v>165</v>
      </c>
      <c r="H122" s="15" t="s">
        <v>39</v>
      </c>
      <c r="I122" s="15" t="s">
        <v>85</v>
      </c>
      <c r="J122" s="15" t="s">
        <v>66</v>
      </c>
      <c r="K122" s="15" t="s">
        <v>183</v>
      </c>
      <c r="L122" s="15">
        <v>1</v>
      </c>
      <c r="M122" s="16">
        <v>1.53</v>
      </c>
      <c r="N122" s="16">
        <v>1.53</v>
      </c>
      <c r="O122" s="16">
        <v>0</v>
      </c>
      <c r="P122" s="16">
        <v>1.53</v>
      </c>
      <c r="Q122" s="16">
        <v>0.61</v>
      </c>
      <c r="R122" s="16">
        <v>0.92</v>
      </c>
      <c r="S122" s="15" t="s">
        <v>54</v>
      </c>
      <c r="T122" s="15" t="s">
        <v>44</v>
      </c>
      <c r="U122" s="17">
        <v>5</v>
      </c>
    </row>
    <row r="123" spans="1:21" x14ac:dyDescent="0.8">
      <c r="A123" s="13" t="s">
        <v>250</v>
      </c>
      <c r="B123" s="14">
        <v>45424</v>
      </c>
      <c r="C123" s="15" t="s">
        <v>99</v>
      </c>
      <c r="D123" s="15" t="s">
        <v>35</v>
      </c>
      <c r="E123" s="15" t="s">
        <v>36</v>
      </c>
      <c r="F123" s="15" t="s">
        <v>37</v>
      </c>
      <c r="G123" s="15" t="s">
        <v>38</v>
      </c>
      <c r="H123" s="15" t="s">
        <v>39</v>
      </c>
      <c r="I123" s="15" t="s">
        <v>40</v>
      </c>
      <c r="J123" s="15" t="s">
        <v>61</v>
      </c>
      <c r="K123" s="15" t="s">
        <v>121</v>
      </c>
      <c r="L123" s="15">
        <v>2</v>
      </c>
      <c r="M123" s="16">
        <v>9.43</v>
      </c>
      <c r="N123" s="16">
        <v>18.86</v>
      </c>
      <c r="O123" s="16">
        <v>1.89</v>
      </c>
      <c r="P123" s="16">
        <v>16.97</v>
      </c>
      <c r="Q123" s="16">
        <v>7.94</v>
      </c>
      <c r="R123" s="16">
        <v>9.0299999999999994</v>
      </c>
      <c r="S123" s="15" t="s">
        <v>43</v>
      </c>
      <c r="T123" s="15" t="s">
        <v>44</v>
      </c>
      <c r="U123" s="17">
        <v>5</v>
      </c>
    </row>
    <row r="124" spans="1:21" x14ac:dyDescent="0.8">
      <c r="A124" s="13" t="s">
        <v>251</v>
      </c>
      <c r="B124" s="14">
        <v>45425</v>
      </c>
      <c r="C124" s="15" t="s">
        <v>75</v>
      </c>
      <c r="D124" s="15" t="s">
        <v>47</v>
      </c>
      <c r="E124" s="15" t="s">
        <v>114</v>
      </c>
      <c r="F124" s="15" t="s">
        <v>115</v>
      </c>
      <c r="G124" s="15" t="s">
        <v>116</v>
      </c>
      <c r="H124" s="15" t="s">
        <v>39</v>
      </c>
      <c r="I124" s="15" t="s">
        <v>51</v>
      </c>
      <c r="J124" s="15" t="s">
        <v>66</v>
      </c>
      <c r="K124" s="15" t="s">
        <v>86</v>
      </c>
      <c r="L124" s="15">
        <v>2</v>
      </c>
      <c r="M124" s="16">
        <v>3.75</v>
      </c>
      <c r="N124" s="16">
        <v>7.5</v>
      </c>
      <c r="O124" s="16">
        <v>1.1200000000000001</v>
      </c>
      <c r="P124" s="16">
        <v>6.38</v>
      </c>
      <c r="Q124" s="16">
        <v>2.59</v>
      </c>
      <c r="R124" s="16">
        <v>3.79</v>
      </c>
      <c r="S124" s="15" t="s">
        <v>72</v>
      </c>
      <c r="T124" s="15" t="s">
        <v>55</v>
      </c>
      <c r="U124" s="17">
        <v>4</v>
      </c>
    </row>
    <row r="125" spans="1:21" x14ac:dyDescent="0.8">
      <c r="A125" s="13" t="s">
        <v>252</v>
      </c>
      <c r="B125" s="14">
        <v>45427</v>
      </c>
      <c r="C125" s="15" t="s">
        <v>34</v>
      </c>
      <c r="D125" s="15" t="s">
        <v>70</v>
      </c>
      <c r="E125" s="15" t="s">
        <v>163</v>
      </c>
      <c r="F125" s="15" t="s">
        <v>164</v>
      </c>
      <c r="G125" s="15" t="s">
        <v>165</v>
      </c>
      <c r="H125" s="15" t="s">
        <v>39</v>
      </c>
      <c r="I125" s="15" t="s">
        <v>85</v>
      </c>
      <c r="J125" s="15" t="s">
        <v>78</v>
      </c>
      <c r="K125" s="15" t="s">
        <v>138</v>
      </c>
      <c r="L125" s="15">
        <v>1</v>
      </c>
      <c r="M125" s="16">
        <v>4.37</v>
      </c>
      <c r="N125" s="16">
        <v>4.37</v>
      </c>
      <c r="O125" s="16">
        <v>0.22</v>
      </c>
      <c r="P125" s="16">
        <v>4.1500000000000004</v>
      </c>
      <c r="Q125" s="16">
        <v>1.75</v>
      </c>
      <c r="R125" s="16">
        <v>2.4</v>
      </c>
      <c r="S125" s="15" t="s">
        <v>123</v>
      </c>
      <c r="T125" s="15" t="s">
        <v>144</v>
      </c>
      <c r="U125" s="17">
        <v>4</v>
      </c>
    </row>
    <row r="126" spans="1:21" x14ac:dyDescent="0.8">
      <c r="A126" s="13" t="s">
        <v>253</v>
      </c>
      <c r="B126" s="14">
        <v>45429</v>
      </c>
      <c r="C126" s="15" t="s">
        <v>57</v>
      </c>
      <c r="D126" s="15" t="s">
        <v>35</v>
      </c>
      <c r="E126" s="15" t="s">
        <v>48</v>
      </c>
      <c r="F126" s="15" t="s">
        <v>49</v>
      </c>
      <c r="G126" s="15" t="s">
        <v>50</v>
      </c>
      <c r="H126" s="15" t="s">
        <v>39</v>
      </c>
      <c r="I126" s="15" t="s">
        <v>51</v>
      </c>
      <c r="J126" s="15" t="s">
        <v>41</v>
      </c>
      <c r="K126" s="15" t="s">
        <v>239</v>
      </c>
      <c r="L126" s="15">
        <v>1</v>
      </c>
      <c r="M126" s="16">
        <v>1.96</v>
      </c>
      <c r="N126" s="16">
        <v>1.96</v>
      </c>
      <c r="O126" s="16">
        <v>0</v>
      </c>
      <c r="P126" s="16">
        <v>1.96</v>
      </c>
      <c r="Q126" s="16">
        <v>0.99</v>
      </c>
      <c r="R126" s="16">
        <v>0.97</v>
      </c>
      <c r="S126" s="15" t="s">
        <v>123</v>
      </c>
      <c r="T126" s="15" t="s">
        <v>55</v>
      </c>
      <c r="U126" s="17">
        <v>5</v>
      </c>
    </row>
    <row r="127" spans="1:21" x14ac:dyDescent="0.8">
      <c r="A127" s="13" t="s">
        <v>254</v>
      </c>
      <c r="B127" s="14">
        <v>45429</v>
      </c>
      <c r="C127" s="15" t="s">
        <v>57</v>
      </c>
      <c r="D127" s="15" t="s">
        <v>65</v>
      </c>
      <c r="E127" s="15" t="s">
        <v>131</v>
      </c>
      <c r="F127" s="15" t="s">
        <v>132</v>
      </c>
      <c r="G127" s="15" t="s">
        <v>133</v>
      </c>
      <c r="H127" s="15" t="s">
        <v>39</v>
      </c>
      <c r="I127" s="15" t="s">
        <v>134</v>
      </c>
      <c r="J127" s="15" t="s">
        <v>100</v>
      </c>
      <c r="K127" s="15" t="s">
        <v>111</v>
      </c>
      <c r="L127" s="15">
        <v>3</v>
      </c>
      <c r="M127" s="16">
        <v>6.05</v>
      </c>
      <c r="N127" s="16">
        <v>18.149999999999999</v>
      </c>
      <c r="O127" s="16">
        <v>0</v>
      </c>
      <c r="P127" s="16">
        <v>18.149999999999999</v>
      </c>
      <c r="Q127" s="16">
        <v>7.6</v>
      </c>
      <c r="R127" s="16">
        <v>10.55</v>
      </c>
      <c r="S127" s="15" t="s">
        <v>43</v>
      </c>
      <c r="T127" s="15" t="s">
        <v>63</v>
      </c>
      <c r="U127" s="17">
        <v>3</v>
      </c>
    </row>
    <row r="128" spans="1:21" x14ac:dyDescent="0.8">
      <c r="A128" s="13" t="s">
        <v>255</v>
      </c>
      <c r="B128" s="14">
        <v>45429</v>
      </c>
      <c r="C128" s="15" t="s">
        <v>57</v>
      </c>
      <c r="D128" s="15" t="s">
        <v>47</v>
      </c>
      <c r="E128" s="15" t="s">
        <v>82</v>
      </c>
      <c r="F128" s="15" t="s">
        <v>83</v>
      </c>
      <c r="G128" s="15" t="s">
        <v>84</v>
      </c>
      <c r="H128" s="15" t="s">
        <v>39</v>
      </c>
      <c r="I128" s="15" t="s">
        <v>85</v>
      </c>
      <c r="J128" s="15" t="s">
        <v>100</v>
      </c>
      <c r="K128" s="15" t="s">
        <v>101</v>
      </c>
      <c r="L128" s="15">
        <v>3</v>
      </c>
      <c r="M128" s="16">
        <v>3.44</v>
      </c>
      <c r="N128" s="16">
        <v>10.32</v>
      </c>
      <c r="O128" s="16">
        <v>0</v>
      </c>
      <c r="P128" s="16">
        <v>10.32</v>
      </c>
      <c r="Q128" s="16">
        <v>5.08</v>
      </c>
      <c r="R128" s="16">
        <v>5.24</v>
      </c>
      <c r="S128" s="15" t="s">
        <v>43</v>
      </c>
      <c r="T128" s="15" t="s">
        <v>73</v>
      </c>
      <c r="U128" s="17">
        <v>4</v>
      </c>
    </row>
    <row r="129" spans="1:21" x14ac:dyDescent="0.8">
      <c r="A129" s="13" t="s">
        <v>256</v>
      </c>
      <c r="B129" s="14">
        <v>45430</v>
      </c>
      <c r="C129" s="15" t="s">
        <v>69</v>
      </c>
      <c r="D129" s="15" t="s">
        <v>47</v>
      </c>
      <c r="E129" s="15" t="s">
        <v>131</v>
      </c>
      <c r="F129" s="15" t="s">
        <v>132</v>
      </c>
      <c r="G129" s="15" t="s">
        <v>133</v>
      </c>
      <c r="H129" s="15" t="s">
        <v>39</v>
      </c>
      <c r="I129" s="15" t="s">
        <v>134</v>
      </c>
      <c r="J129" s="15" t="s">
        <v>61</v>
      </c>
      <c r="K129" s="15" t="s">
        <v>121</v>
      </c>
      <c r="L129" s="15">
        <v>2</v>
      </c>
      <c r="M129" s="16">
        <v>9.7200000000000006</v>
      </c>
      <c r="N129" s="16">
        <v>19.440000000000001</v>
      </c>
      <c r="O129" s="16">
        <v>0.97</v>
      </c>
      <c r="P129" s="16">
        <v>18.47</v>
      </c>
      <c r="Q129" s="16">
        <v>8.75</v>
      </c>
      <c r="R129" s="16">
        <v>9.7200000000000006</v>
      </c>
      <c r="S129" s="15" t="s">
        <v>123</v>
      </c>
      <c r="T129" s="15" t="s">
        <v>144</v>
      </c>
      <c r="U129" s="17">
        <v>4</v>
      </c>
    </row>
    <row r="130" spans="1:21" x14ac:dyDescent="0.8">
      <c r="A130" s="13" t="s">
        <v>257</v>
      </c>
      <c r="B130" s="14">
        <v>45431</v>
      </c>
      <c r="C130" s="15" t="s">
        <v>99</v>
      </c>
      <c r="D130" s="15" t="s">
        <v>47</v>
      </c>
      <c r="E130" s="15" t="s">
        <v>89</v>
      </c>
      <c r="F130" s="15" t="s">
        <v>90</v>
      </c>
      <c r="G130" s="15" t="s">
        <v>91</v>
      </c>
      <c r="H130" s="15" t="s">
        <v>39</v>
      </c>
      <c r="I130" s="15" t="s">
        <v>92</v>
      </c>
      <c r="J130" s="15" t="s">
        <v>61</v>
      </c>
      <c r="K130" s="15" t="s">
        <v>119</v>
      </c>
      <c r="L130" s="15">
        <v>2</v>
      </c>
      <c r="M130" s="16">
        <v>7.03</v>
      </c>
      <c r="N130" s="16">
        <v>14.06</v>
      </c>
      <c r="O130" s="16">
        <v>2.11</v>
      </c>
      <c r="P130" s="16">
        <v>11.95</v>
      </c>
      <c r="Q130" s="16">
        <v>5.94</v>
      </c>
      <c r="R130" s="16">
        <v>6.01</v>
      </c>
      <c r="S130" s="15" t="s">
        <v>43</v>
      </c>
      <c r="T130" s="15" t="s">
        <v>55</v>
      </c>
      <c r="U130" s="17">
        <v>3</v>
      </c>
    </row>
    <row r="131" spans="1:21" x14ac:dyDescent="0.8">
      <c r="A131" s="13" t="s">
        <v>258</v>
      </c>
      <c r="B131" s="14">
        <v>45434</v>
      </c>
      <c r="C131" s="15" t="s">
        <v>34</v>
      </c>
      <c r="D131" s="15" t="s">
        <v>65</v>
      </c>
      <c r="E131" s="15" t="s">
        <v>76</v>
      </c>
      <c r="F131" s="15" t="s">
        <v>77</v>
      </c>
      <c r="G131" s="15" t="s">
        <v>38</v>
      </c>
      <c r="H131" s="15" t="s">
        <v>39</v>
      </c>
      <c r="I131" s="15" t="s">
        <v>40</v>
      </c>
      <c r="J131" s="15" t="s">
        <v>61</v>
      </c>
      <c r="K131" s="15" t="s">
        <v>119</v>
      </c>
      <c r="L131" s="15">
        <v>2</v>
      </c>
      <c r="M131" s="16">
        <v>6.99</v>
      </c>
      <c r="N131" s="16">
        <v>13.98</v>
      </c>
      <c r="O131" s="16">
        <v>0</v>
      </c>
      <c r="P131" s="16">
        <v>13.98</v>
      </c>
      <c r="Q131" s="16">
        <v>5.87</v>
      </c>
      <c r="R131" s="16">
        <v>8.11</v>
      </c>
      <c r="S131" s="15" t="s">
        <v>123</v>
      </c>
      <c r="T131" s="15" t="s">
        <v>55</v>
      </c>
      <c r="U131" s="17">
        <v>3</v>
      </c>
    </row>
    <row r="132" spans="1:21" x14ac:dyDescent="0.8">
      <c r="A132" s="13" t="s">
        <v>259</v>
      </c>
      <c r="B132" s="14">
        <v>45434</v>
      </c>
      <c r="C132" s="15" t="s">
        <v>34</v>
      </c>
      <c r="D132" s="15" t="s">
        <v>70</v>
      </c>
      <c r="E132" s="15" t="s">
        <v>104</v>
      </c>
      <c r="F132" s="15" t="s">
        <v>105</v>
      </c>
      <c r="G132" s="15" t="s">
        <v>106</v>
      </c>
      <c r="H132" s="15" t="s">
        <v>39</v>
      </c>
      <c r="I132" s="15" t="s">
        <v>85</v>
      </c>
      <c r="J132" s="15" t="s">
        <v>41</v>
      </c>
      <c r="K132" s="15" t="s">
        <v>154</v>
      </c>
      <c r="L132" s="15">
        <v>2</v>
      </c>
      <c r="M132" s="16">
        <v>1.47</v>
      </c>
      <c r="N132" s="16">
        <v>2.94</v>
      </c>
      <c r="O132" s="16">
        <v>0</v>
      </c>
      <c r="P132" s="16">
        <v>2.94</v>
      </c>
      <c r="Q132" s="16">
        <v>1.48</v>
      </c>
      <c r="R132" s="16">
        <v>1.46</v>
      </c>
      <c r="S132" s="15" t="s">
        <v>102</v>
      </c>
      <c r="T132" s="15" t="s">
        <v>144</v>
      </c>
      <c r="U132" s="17">
        <v>3</v>
      </c>
    </row>
    <row r="133" spans="1:21" x14ac:dyDescent="0.8">
      <c r="A133" s="13" t="s">
        <v>260</v>
      </c>
      <c r="B133" s="14">
        <v>45434</v>
      </c>
      <c r="C133" s="15" t="s">
        <v>34</v>
      </c>
      <c r="D133" s="15" t="s">
        <v>47</v>
      </c>
      <c r="E133" s="15" t="s">
        <v>131</v>
      </c>
      <c r="F133" s="15" t="s">
        <v>132</v>
      </c>
      <c r="G133" s="15" t="s">
        <v>133</v>
      </c>
      <c r="H133" s="15" t="s">
        <v>39</v>
      </c>
      <c r="I133" s="15" t="s">
        <v>134</v>
      </c>
      <c r="J133" s="15" t="s">
        <v>41</v>
      </c>
      <c r="K133" s="15" t="s">
        <v>220</v>
      </c>
      <c r="L133" s="15">
        <v>3</v>
      </c>
      <c r="M133" s="16">
        <v>4.0999999999999996</v>
      </c>
      <c r="N133" s="16">
        <v>12.3</v>
      </c>
      <c r="O133" s="16">
        <v>1.23</v>
      </c>
      <c r="P133" s="16">
        <v>11.07</v>
      </c>
      <c r="Q133" s="16">
        <v>5.23</v>
      </c>
      <c r="R133" s="16">
        <v>5.84</v>
      </c>
      <c r="S133" s="15" t="s">
        <v>54</v>
      </c>
      <c r="T133" s="15" t="s">
        <v>87</v>
      </c>
      <c r="U133" s="17">
        <v>4</v>
      </c>
    </row>
    <row r="134" spans="1:21" x14ac:dyDescent="0.8">
      <c r="A134" s="13" t="s">
        <v>261</v>
      </c>
      <c r="B134" s="14">
        <v>45435</v>
      </c>
      <c r="C134" s="15" t="s">
        <v>46</v>
      </c>
      <c r="D134" s="15" t="s">
        <v>70</v>
      </c>
      <c r="E134" s="15" t="s">
        <v>104</v>
      </c>
      <c r="F134" s="15" t="s">
        <v>105</v>
      </c>
      <c r="G134" s="15" t="s">
        <v>106</v>
      </c>
      <c r="H134" s="15" t="s">
        <v>39</v>
      </c>
      <c r="I134" s="15" t="s">
        <v>85</v>
      </c>
      <c r="J134" s="15" t="s">
        <v>52</v>
      </c>
      <c r="K134" s="15" t="s">
        <v>71</v>
      </c>
      <c r="L134" s="15">
        <v>1</v>
      </c>
      <c r="M134" s="16">
        <v>3.98</v>
      </c>
      <c r="N134" s="16">
        <v>3.98</v>
      </c>
      <c r="O134" s="16">
        <v>0</v>
      </c>
      <c r="P134" s="16">
        <v>3.98</v>
      </c>
      <c r="Q134" s="16">
        <v>1.68</v>
      </c>
      <c r="R134" s="16">
        <v>2.2999999999999998</v>
      </c>
      <c r="S134" s="15" t="s">
        <v>54</v>
      </c>
      <c r="T134" s="15" t="s">
        <v>55</v>
      </c>
      <c r="U134" s="17">
        <v>5</v>
      </c>
    </row>
    <row r="135" spans="1:21" x14ac:dyDescent="0.8">
      <c r="A135" s="13" t="s">
        <v>262</v>
      </c>
      <c r="B135" s="14">
        <v>45435</v>
      </c>
      <c r="C135" s="15" t="s">
        <v>46</v>
      </c>
      <c r="D135" s="15" t="s">
        <v>47</v>
      </c>
      <c r="E135" s="15" t="s">
        <v>131</v>
      </c>
      <c r="F135" s="15" t="s">
        <v>132</v>
      </c>
      <c r="G135" s="15" t="s">
        <v>133</v>
      </c>
      <c r="H135" s="15" t="s">
        <v>39</v>
      </c>
      <c r="I135" s="15" t="s">
        <v>134</v>
      </c>
      <c r="J135" s="15" t="s">
        <v>61</v>
      </c>
      <c r="K135" s="15" t="s">
        <v>121</v>
      </c>
      <c r="L135" s="15">
        <v>1</v>
      </c>
      <c r="M135" s="16">
        <v>9.61</v>
      </c>
      <c r="N135" s="16">
        <v>9.61</v>
      </c>
      <c r="O135" s="16">
        <v>0</v>
      </c>
      <c r="P135" s="16">
        <v>9.61</v>
      </c>
      <c r="Q135" s="16">
        <v>3.88</v>
      </c>
      <c r="R135" s="16">
        <v>5.73</v>
      </c>
      <c r="S135" s="15" t="s">
        <v>43</v>
      </c>
      <c r="T135" s="15" t="s">
        <v>73</v>
      </c>
      <c r="U135" s="17">
        <v>3</v>
      </c>
    </row>
    <row r="136" spans="1:21" x14ac:dyDescent="0.8">
      <c r="A136" s="13" t="s">
        <v>263</v>
      </c>
      <c r="B136" s="14">
        <v>45438</v>
      </c>
      <c r="C136" s="15" t="s">
        <v>99</v>
      </c>
      <c r="D136" s="15" t="s">
        <v>47</v>
      </c>
      <c r="E136" s="15" t="s">
        <v>36</v>
      </c>
      <c r="F136" s="15" t="s">
        <v>37</v>
      </c>
      <c r="G136" s="15" t="s">
        <v>38</v>
      </c>
      <c r="H136" s="15" t="s">
        <v>39</v>
      </c>
      <c r="I136" s="15" t="s">
        <v>40</v>
      </c>
      <c r="J136" s="15" t="s">
        <v>61</v>
      </c>
      <c r="K136" s="15" t="s">
        <v>161</v>
      </c>
      <c r="L136" s="15">
        <v>1</v>
      </c>
      <c r="M136" s="16">
        <v>10.79</v>
      </c>
      <c r="N136" s="16">
        <v>10.79</v>
      </c>
      <c r="O136" s="16">
        <v>0</v>
      </c>
      <c r="P136" s="16">
        <v>10.79</v>
      </c>
      <c r="Q136" s="16">
        <v>5.41</v>
      </c>
      <c r="R136" s="16">
        <v>5.38</v>
      </c>
      <c r="S136" s="15" t="s">
        <v>54</v>
      </c>
      <c r="T136" s="15" t="s">
        <v>73</v>
      </c>
      <c r="U136" s="17">
        <v>4</v>
      </c>
    </row>
    <row r="137" spans="1:21" x14ac:dyDescent="0.8">
      <c r="A137" s="13" t="s">
        <v>264</v>
      </c>
      <c r="B137" s="14">
        <v>45438</v>
      </c>
      <c r="C137" s="15" t="s">
        <v>99</v>
      </c>
      <c r="D137" s="15" t="s">
        <v>35</v>
      </c>
      <c r="E137" s="15" t="s">
        <v>48</v>
      </c>
      <c r="F137" s="15" t="s">
        <v>49</v>
      </c>
      <c r="G137" s="15" t="s">
        <v>50</v>
      </c>
      <c r="H137" s="15" t="s">
        <v>39</v>
      </c>
      <c r="I137" s="15" t="s">
        <v>51</v>
      </c>
      <c r="J137" s="15" t="s">
        <v>52</v>
      </c>
      <c r="K137" s="15" t="s">
        <v>180</v>
      </c>
      <c r="L137" s="15">
        <v>3</v>
      </c>
      <c r="M137" s="16">
        <v>3.78</v>
      </c>
      <c r="N137" s="16">
        <v>11.34</v>
      </c>
      <c r="O137" s="16">
        <v>0.56999999999999995</v>
      </c>
      <c r="P137" s="16">
        <v>10.77</v>
      </c>
      <c r="Q137" s="16">
        <v>5.72</v>
      </c>
      <c r="R137" s="16">
        <v>5.05</v>
      </c>
      <c r="S137" s="15" t="s">
        <v>102</v>
      </c>
      <c r="T137" s="15" t="s">
        <v>55</v>
      </c>
      <c r="U137" s="17">
        <v>5</v>
      </c>
    </row>
    <row r="138" spans="1:21" x14ac:dyDescent="0.8">
      <c r="A138" s="13" t="s">
        <v>265</v>
      </c>
      <c r="B138" s="14">
        <v>45439</v>
      </c>
      <c r="C138" s="15" t="s">
        <v>75</v>
      </c>
      <c r="D138" s="15" t="s">
        <v>65</v>
      </c>
      <c r="E138" s="15" t="s">
        <v>36</v>
      </c>
      <c r="F138" s="15" t="s">
        <v>37</v>
      </c>
      <c r="G138" s="15" t="s">
        <v>38</v>
      </c>
      <c r="H138" s="15" t="s">
        <v>39</v>
      </c>
      <c r="I138" s="15" t="s">
        <v>40</v>
      </c>
      <c r="J138" s="15" t="s">
        <v>52</v>
      </c>
      <c r="K138" s="15" t="s">
        <v>135</v>
      </c>
      <c r="L138" s="15">
        <v>2</v>
      </c>
      <c r="M138" s="16">
        <v>1.94</v>
      </c>
      <c r="N138" s="16">
        <v>3.88</v>
      </c>
      <c r="O138" s="16">
        <v>0.19</v>
      </c>
      <c r="P138" s="16">
        <v>3.69</v>
      </c>
      <c r="Q138" s="16">
        <v>1.94</v>
      </c>
      <c r="R138" s="16">
        <v>1.75</v>
      </c>
      <c r="S138" s="15" t="s">
        <v>72</v>
      </c>
      <c r="T138" s="15" t="s">
        <v>44</v>
      </c>
      <c r="U138" s="17">
        <v>4</v>
      </c>
    </row>
    <row r="139" spans="1:21" x14ac:dyDescent="0.8">
      <c r="A139" s="13" t="s">
        <v>266</v>
      </c>
      <c r="B139" s="14">
        <v>45440</v>
      </c>
      <c r="C139" s="15" t="s">
        <v>81</v>
      </c>
      <c r="D139" s="15" t="s">
        <v>35</v>
      </c>
      <c r="E139" s="15" t="s">
        <v>114</v>
      </c>
      <c r="F139" s="15" t="s">
        <v>115</v>
      </c>
      <c r="G139" s="15" t="s">
        <v>116</v>
      </c>
      <c r="H139" s="15" t="s">
        <v>39</v>
      </c>
      <c r="I139" s="15" t="s">
        <v>51</v>
      </c>
      <c r="J139" s="15" t="s">
        <v>61</v>
      </c>
      <c r="K139" s="15" t="s">
        <v>119</v>
      </c>
      <c r="L139" s="15">
        <v>1</v>
      </c>
      <c r="M139" s="16">
        <v>7.14</v>
      </c>
      <c r="N139" s="16">
        <v>7.14</v>
      </c>
      <c r="O139" s="16">
        <v>0</v>
      </c>
      <c r="P139" s="16">
        <v>7.14</v>
      </c>
      <c r="Q139" s="16">
        <v>2.97</v>
      </c>
      <c r="R139" s="16">
        <v>4.17</v>
      </c>
      <c r="S139" s="15" t="s">
        <v>43</v>
      </c>
      <c r="T139" s="15" t="s">
        <v>73</v>
      </c>
      <c r="U139" s="17">
        <v>3</v>
      </c>
    </row>
    <row r="140" spans="1:21" x14ac:dyDescent="0.8">
      <c r="A140" s="13" t="s">
        <v>267</v>
      </c>
      <c r="B140" s="14">
        <v>45443</v>
      </c>
      <c r="C140" s="15" t="s">
        <v>57</v>
      </c>
      <c r="D140" s="15" t="s">
        <v>35</v>
      </c>
      <c r="E140" s="15" t="s">
        <v>36</v>
      </c>
      <c r="F140" s="15" t="s">
        <v>37</v>
      </c>
      <c r="G140" s="15" t="s">
        <v>38</v>
      </c>
      <c r="H140" s="15" t="s">
        <v>39</v>
      </c>
      <c r="I140" s="15" t="s">
        <v>40</v>
      </c>
      <c r="J140" s="15" t="s">
        <v>66</v>
      </c>
      <c r="K140" s="15" t="s">
        <v>86</v>
      </c>
      <c r="L140" s="15">
        <v>1</v>
      </c>
      <c r="M140" s="16">
        <v>3.84</v>
      </c>
      <c r="N140" s="16">
        <v>3.84</v>
      </c>
      <c r="O140" s="16">
        <v>0</v>
      </c>
      <c r="P140" s="16">
        <v>3.84</v>
      </c>
      <c r="Q140" s="16">
        <v>1.38</v>
      </c>
      <c r="R140" s="16">
        <v>2.46</v>
      </c>
      <c r="S140" s="15" t="s">
        <v>102</v>
      </c>
      <c r="T140" s="15" t="s">
        <v>87</v>
      </c>
      <c r="U140" s="17">
        <v>5</v>
      </c>
    </row>
    <row r="141" spans="1:21" x14ac:dyDescent="0.8">
      <c r="A141" s="13" t="s">
        <v>268</v>
      </c>
      <c r="B141" s="14">
        <v>45444</v>
      </c>
      <c r="C141" s="15" t="s">
        <v>69</v>
      </c>
      <c r="D141" s="15" t="s">
        <v>70</v>
      </c>
      <c r="E141" s="15" t="s">
        <v>131</v>
      </c>
      <c r="F141" s="15" t="s">
        <v>132</v>
      </c>
      <c r="G141" s="15" t="s">
        <v>133</v>
      </c>
      <c r="H141" s="15" t="s">
        <v>39</v>
      </c>
      <c r="I141" s="15" t="s">
        <v>134</v>
      </c>
      <c r="J141" s="15" t="s">
        <v>61</v>
      </c>
      <c r="K141" s="15" t="s">
        <v>119</v>
      </c>
      <c r="L141" s="15">
        <v>4</v>
      </c>
      <c r="M141" s="16">
        <v>6.97</v>
      </c>
      <c r="N141" s="16">
        <v>27.88</v>
      </c>
      <c r="O141" s="16">
        <v>0</v>
      </c>
      <c r="P141" s="16">
        <v>27.88</v>
      </c>
      <c r="Q141" s="16">
        <v>11.61</v>
      </c>
      <c r="R141" s="16">
        <v>16.27</v>
      </c>
      <c r="S141" s="15" t="s">
        <v>43</v>
      </c>
      <c r="T141" s="15" t="s">
        <v>63</v>
      </c>
      <c r="U141" s="17">
        <v>5</v>
      </c>
    </row>
    <row r="142" spans="1:21" x14ac:dyDescent="0.8">
      <c r="A142" s="13" t="s">
        <v>269</v>
      </c>
      <c r="B142" s="14">
        <v>45445</v>
      </c>
      <c r="C142" s="15" t="s">
        <v>99</v>
      </c>
      <c r="D142" s="15" t="s">
        <v>70</v>
      </c>
      <c r="E142" s="15" t="s">
        <v>58</v>
      </c>
      <c r="F142" s="15" t="s">
        <v>59</v>
      </c>
      <c r="G142" s="15" t="s">
        <v>60</v>
      </c>
      <c r="H142" s="15" t="s">
        <v>39</v>
      </c>
      <c r="I142" s="15" t="s">
        <v>40</v>
      </c>
      <c r="J142" s="15" t="s">
        <v>100</v>
      </c>
      <c r="K142" s="15" t="s">
        <v>243</v>
      </c>
      <c r="L142" s="15">
        <v>4</v>
      </c>
      <c r="M142" s="16">
        <v>5.82</v>
      </c>
      <c r="N142" s="16">
        <v>23.28</v>
      </c>
      <c r="O142" s="16">
        <v>3.49</v>
      </c>
      <c r="P142" s="16">
        <v>19.79</v>
      </c>
      <c r="Q142" s="16">
        <v>9.4</v>
      </c>
      <c r="R142" s="16">
        <v>10.39</v>
      </c>
      <c r="S142" s="15" t="s">
        <v>72</v>
      </c>
      <c r="T142" s="15" t="s">
        <v>87</v>
      </c>
      <c r="U142" s="17">
        <v>2</v>
      </c>
    </row>
    <row r="143" spans="1:21" x14ac:dyDescent="0.8">
      <c r="A143" s="13" t="s">
        <v>270</v>
      </c>
      <c r="B143" s="14">
        <v>45445</v>
      </c>
      <c r="C143" s="15" t="s">
        <v>99</v>
      </c>
      <c r="D143" s="15" t="s">
        <v>35</v>
      </c>
      <c r="E143" s="15" t="s">
        <v>76</v>
      </c>
      <c r="F143" s="15" t="s">
        <v>77</v>
      </c>
      <c r="G143" s="15" t="s">
        <v>38</v>
      </c>
      <c r="H143" s="15" t="s">
        <v>39</v>
      </c>
      <c r="I143" s="15" t="s">
        <v>40</v>
      </c>
      <c r="J143" s="15" t="s">
        <v>78</v>
      </c>
      <c r="K143" s="15" t="s">
        <v>143</v>
      </c>
      <c r="L143" s="15">
        <v>2</v>
      </c>
      <c r="M143" s="16">
        <v>2.87</v>
      </c>
      <c r="N143" s="16">
        <v>5.74</v>
      </c>
      <c r="O143" s="16">
        <v>0.28999999999999998</v>
      </c>
      <c r="P143" s="16">
        <v>5.45</v>
      </c>
      <c r="Q143" s="16">
        <v>2.0499999999999998</v>
      </c>
      <c r="R143" s="16">
        <v>3.4</v>
      </c>
      <c r="S143" s="15" t="s">
        <v>93</v>
      </c>
      <c r="T143" s="15" t="s">
        <v>55</v>
      </c>
      <c r="U143" s="17">
        <v>4</v>
      </c>
    </row>
    <row r="144" spans="1:21" x14ac:dyDescent="0.8">
      <c r="A144" s="13" t="s">
        <v>271</v>
      </c>
      <c r="B144" s="14">
        <v>45445</v>
      </c>
      <c r="C144" s="15" t="s">
        <v>99</v>
      </c>
      <c r="D144" s="15" t="s">
        <v>47</v>
      </c>
      <c r="E144" s="15" t="s">
        <v>76</v>
      </c>
      <c r="F144" s="15" t="s">
        <v>77</v>
      </c>
      <c r="G144" s="15" t="s">
        <v>38</v>
      </c>
      <c r="H144" s="15" t="s">
        <v>39</v>
      </c>
      <c r="I144" s="15" t="s">
        <v>40</v>
      </c>
      <c r="J144" s="15" t="s">
        <v>61</v>
      </c>
      <c r="K144" s="15" t="s">
        <v>121</v>
      </c>
      <c r="L144" s="15">
        <v>2</v>
      </c>
      <c r="M144" s="16">
        <v>9.69</v>
      </c>
      <c r="N144" s="16">
        <v>19.38</v>
      </c>
      <c r="O144" s="16">
        <v>0.97</v>
      </c>
      <c r="P144" s="16">
        <v>18.41</v>
      </c>
      <c r="Q144" s="16">
        <v>8.43</v>
      </c>
      <c r="R144" s="16">
        <v>9.98</v>
      </c>
      <c r="S144" s="15" t="s">
        <v>72</v>
      </c>
      <c r="T144" s="15" t="s">
        <v>73</v>
      </c>
      <c r="U144" s="17">
        <v>5</v>
      </c>
    </row>
    <row r="145" spans="1:21" x14ac:dyDescent="0.8">
      <c r="A145" s="13" t="s">
        <v>272</v>
      </c>
      <c r="B145" s="14">
        <v>45446</v>
      </c>
      <c r="C145" s="15" t="s">
        <v>75</v>
      </c>
      <c r="D145" s="15" t="s">
        <v>47</v>
      </c>
      <c r="E145" s="15" t="s">
        <v>36</v>
      </c>
      <c r="F145" s="15" t="s">
        <v>37</v>
      </c>
      <c r="G145" s="15" t="s">
        <v>38</v>
      </c>
      <c r="H145" s="15" t="s">
        <v>39</v>
      </c>
      <c r="I145" s="15" t="s">
        <v>40</v>
      </c>
      <c r="J145" s="15" t="s">
        <v>78</v>
      </c>
      <c r="K145" s="15" t="s">
        <v>141</v>
      </c>
      <c r="L145" s="15">
        <v>1</v>
      </c>
      <c r="M145" s="16">
        <v>6.44</v>
      </c>
      <c r="N145" s="16">
        <v>6.44</v>
      </c>
      <c r="O145" s="16">
        <v>0</v>
      </c>
      <c r="P145" s="16">
        <v>6.44</v>
      </c>
      <c r="Q145" s="16">
        <v>2.64</v>
      </c>
      <c r="R145" s="16">
        <v>3.8</v>
      </c>
      <c r="S145" s="15" t="s">
        <v>54</v>
      </c>
      <c r="T145" s="15" t="s">
        <v>55</v>
      </c>
      <c r="U145" s="17">
        <v>5</v>
      </c>
    </row>
    <row r="146" spans="1:21" x14ac:dyDescent="0.8">
      <c r="A146" s="13" t="s">
        <v>273</v>
      </c>
      <c r="B146" s="14">
        <v>45446</v>
      </c>
      <c r="C146" s="15" t="s">
        <v>75</v>
      </c>
      <c r="D146" s="15" t="s">
        <v>47</v>
      </c>
      <c r="E146" s="15" t="s">
        <v>114</v>
      </c>
      <c r="F146" s="15" t="s">
        <v>115</v>
      </c>
      <c r="G146" s="15" t="s">
        <v>116</v>
      </c>
      <c r="H146" s="15" t="s">
        <v>39</v>
      </c>
      <c r="I146" s="15" t="s">
        <v>51</v>
      </c>
      <c r="J146" s="15" t="s">
        <v>100</v>
      </c>
      <c r="K146" s="15" t="s">
        <v>111</v>
      </c>
      <c r="L146" s="15">
        <v>1</v>
      </c>
      <c r="M146" s="16">
        <v>5.82</v>
      </c>
      <c r="N146" s="16">
        <v>5.82</v>
      </c>
      <c r="O146" s="16">
        <v>1.1599999999999999</v>
      </c>
      <c r="P146" s="16">
        <v>4.66</v>
      </c>
      <c r="Q146" s="16">
        <v>1.74</v>
      </c>
      <c r="R146" s="16">
        <v>2.92</v>
      </c>
      <c r="S146" s="15" t="s">
        <v>93</v>
      </c>
      <c r="T146" s="15" t="s">
        <v>87</v>
      </c>
      <c r="U146" s="17">
        <v>4</v>
      </c>
    </row>
    <row r="147" spans="1:21" x14ac:dyDescent="0.8">
      <c r="A147" s="13" t="s">
        <v>274</v>
      </c>
      <c r="B147" s="14">
        <v>45449</v>
      </c>
      <c r="C147" s="15" t="s">
        <v>46</v>
      </c>
      <c r="D147" s="15" t="s">
        <v>35</v>
      </c>
      <c r="E147" s="15" t="s">
        <v>104</v>
      </c>
      <c r="F147" s="15" t="s">
        <v>105</v>
      </c>
      <c r="G147" s="15" t="s">
        <v>106</v>
      </c>
      <c r="H147" s="15" t="s">
        <v>39</v>
      </c>
      <c r="I147" s="15" t="s">
        <v>85</v>
      </c>
      <c r="J147" s="15" t="s">
        <v>41</v>
      </c>
      <c r="K147" s="15" t="s">
        <v>220</v>
      </c>
      <c r="L147" s="15">
        <v>5</v>
      </c>
      <c r="M147" s="16">
        <v>3.88</v>
      </c>
      <c r="N147" s="16">
        <v>19.399999999999999</v>
      </c>
      <c r="O147" s="16">
        <v>0</v>
      </c>
      <c r="P147" s="16">
        <v>19.399999999999999</v>
      </c>
      <c r="Q147" s="16">
        <v>10.46</v>
      </c>
      <c r="R147" s="16">
        <v>8.94</v>
      </c>
      <c r="S147" s="15" t="s">
        <v>93</v>
      </c>
      <c r="T147" s="15" t="s">
        <v>55</v>
      </c>
      <c r="U147" s="17">
        <v>4</v>
      </c>
    </row>
    <row r="148" spans="1:21" x14ac:dyDescent="0.8">
      <c r="A148" s="13" t="s">
        <v>275</v>
      </c>
      <c r="B148" s="14">
        <v>45453</v>
      </c>
      <c r="C148" s="15" t="s">
        <v>75</v>
      </c>
      <c r="D148" s="15" t="s">
        <v>70</v>
      </c>
      <c r="E148" s="15" t="s">
        <v>114</v>
      </c>
      <c r="F148" s="15" t="s">
        <v>115</v>
      </c>
      <c r="G148" s="15" t="s">
        <v>116</v>
      </c>
      <c r="H148" s="15" t="s">
        <v>39</v>
      </c>
      <c r="I148" s="15" t="s">
        <v>51</v>
      </c>
      <c r="J148" s="15" t="s">
        <v>66</v>
      </c>
      <c r="K148" s="15" t="s">
        <v>107</v>
      </c>
      <c r="L148" s="15">
        <v>1</v>
      </c>
      <c r="M148" s="16">
        <v>3.89</v>
      </c>
      <c r="N148" s="16">
        <v>3.89</v>
      </c>
      <c r="O148" s="16">
        <v>0.57999999999999996</v>
      </c>
      <c r="P148" s="16">
        <v>3.31</v>
      </c>
      <c r="Q148" s="16">
        <v>1.37</v>
      </c>
      <c r="R148" s="16">
        <v>1.94</v>
      </c>
      <c r="S148" s="15" t="s">
        <v>54</v>
      </c>
      <c r="T148" s="15" t="s">
        <v>63</v>
      </c>
      <c r="U148" s="17">
        <v>5</v>
      </c>
    </row>
    <row r="149" spans="1:21" x14ac:dyDescent="0.8">
      <c r="A149" s="13" t="s">
        <v>276</v>
      </c>
      <c r="B149" s="14">
        <v>45455</v>
      </c>
      <c r="C149" s="15" t="s">
        <v>34</v>
      </c>
      <c r="D149" s="15" t="s">
        <v>65</v>
      </c>
      <c r="E149" s="15" t="s">
        <v>131</v>
      </c>
      <c r="F149" s="15" t="s">
        <v>132</v>
      </c>
      <c r="G149" s="15" t="s">
        <v>133</v>
      </c>
      <c r="H149" s="15" t="s">
        <v>39</v>
      </c>
      <c r="I149" s="15" t="s">
        <v>134</v>
      </c>
      <c r="J149" s="15" t="s">
        <v>41</v>
      </c>
      <c r="K149" s="15" t="s">
        <v>239</v>
      </c>
      <c r="L149" s="15">
        <v>4</v>
      </c>
      <c r="M149" s="16">
        <v>2.02</v>
      </c>
      <c r="N149" s="16">
        <v>8.08</v>
      </c>
      <c r="O149" s="16">
        <v>0</v>
      </c>
      <c r="P149" s="16">
        <v>8.08</v>
      </c>
      <c r="Q149" s="16">
        <v>4.43</v>
      </c>
      <c r="R149" s="16">
        <v>3.65</v>
      </c>
      <c r="S149" s="15" t="s">
        <v>43</v>
      </c>
      <c r="T149" s="15" t="s">
        <v>55</v>
      </c>
      <c r="U149" s="17">
        <v>5</v>
      </c>
    </row>
    <row r="150" spans="1:21" x14ac:dyDescent="0.8">
      <c r="A150" s="13" t="s">
        <v>277</v>
      </c>
      <c r="B150" s="14">
        <v>45457</v>
      </c>
      <c r="C150" s="15" t="s">
        <v>57</v>
      </c>
      <c r="D150" s="15" t="s">
        <v>35</v>
      </c>
      <c r="E150" s="15" t="s">
        <v>104</v>
      </c>
      <c r="F150" s="15" t="s">
        <v>105</v>
      </c>
      <c r="G150" s="15" t="s">
        <v>106</v>
      </c>
      <c r="H150" s="15" t="s">
        <v>39</v>
      </c>
      <c r="I150" s="15" t="s">
        <v>85</v>
      </c>
      <c r="J150" s="15" t="s">
        <v>100</v>
      </c>
      <c r="K150" s="15" t="s">
        <v>111</v>
      </c>
      <c r="L150" s="15">
        <v>2</v>
      </c>
      <c r="M150" s="16">
        <v>6.14</v>
      </c>
      <c r="N150" s="16">
        <v>12.28</v>
      </c>
      <c r="O150" s="16">
        <v>1.23</v>
      </c>
      <c r="P150" s="16">
        <v>11.05</v>
      </c>
      <c r="Q150" s="16">
        <v>5.74</v>
      </c>
      <c r="R150" s="16">
        <v>5.31</v>
      </c>
      <c r="S150" s="15" t="s">
        <v>123</v>
      </c>
      <c r="T150" s="15" t="s">
        <v>144</v>
      </c>
      <c r="U150" s="17">
        <v>5</v>
      </c>
    </row>
    <row r="151" spans="1:21" x14ac:dyDescent="0.8">
      <c r="A151" s="13" t="s">
        <v>278</v>
      </c>
      <c r="B151" s="14">
        <v>45459</v>
      </c>
      <c r="C151" s="15" t="s">
        <v>99</v>
      </c>
      <c r="D151" s="15" t="s">
        <v>47</v>
      </c>
      <c r="E151" s="15" t="s">
        <v>104</v>
      </c>
      <c r="F151" s="15" t="s">
        <v>105</v>
      </c>
      <c r="G151" s="15" t="s">
        <v>106</v>
      </c>
      <c r="H151" s="15" t="s">
        <v>39</v>
      </c>
      <c r="I151" s="15" t="s">
        <v>85</v>
      </c>
      <c r="J151" s="15" t="s">
        <v>52</v>
      </c>
      <c r="K151" s="15" t="s">
        <v>71</v>
      </c>
      <c r="L151" s="15">
        <v>3</v>
      </c>
      <c r="M151" s="16">
        <v>3.98</v>
      </c>
      <c r="N151" s="16">
        <v>11.94</v>
      </c>
      <c r="O151" s="16">
        <v>0</v>
      </c>
      <c r="P151" s="16">
        <v>11.94</v>
      </c>
      <c r="Q151" s="16">
        <v>5.5</v>
      </c>
      <c r="R151" s="16">
        <v>6.44</v>
      </c>
      <c r="S151" s="15" t="s">
        <v>72</v>
      </c>
      <c r="T151" s="15" t="s">
        <v>63</v>
      </c>
      <c r="U151" s="17">
        <v>5</v>
      </c>
    </row>
    <row r="152" spans="1:21" x14ac:dyDescent="0.8">
      <c r="A152" s="13" t="s">
        <v>279</v>
      </c>
      <c r="B152" s="14">
        <v>45459</v>
      </c>
      <c r="C152" s="15" t="s">
        <v>99</v>
      </c>
      <c r="D152" s="15" t="s">
        <v>47</v>
      </c>
      <c r="E152" s="15" t="s">
        <v>163</v>
      </c>
      <c r="F152" s="15" t="s">
        <v>164</v>
      </c>
      <c r="G152" s="15" t="s">
        <v>165</v>
      </c>
      <c r="H152" s="15" t="s">
        <v>39</v>
      </c>
      <c r="I152" s="15" t="s">
        <v>85</v>
      </c>
      <c r="J152" s="15" t="s">
        <v>78</v>
      </c>
      <c r="K152" s="15" t="s">
        <v>138</v>
      </c>
      <c r="L152" s="15">
        <v>1</v>
      </c>
      <c r="M152" s="16">
        <v>4.6100000000000003</v>
      </c>
      <c r="N152" s="16">
        <v>4.6100000000000003</v>
      </c>
      <c r="O152" s="16">
        <v>0</v>
      </c>
      <c r="P152" s="16">
        <v>4.6100000000000003</v>
      </c>
      <c r="Q152" s="16">
        <v>2.3199999999999998</v>
      </c>
      <c r="R152" s="16">
        <v>2.29</v>
      </c>
      <c r="S152" s="15" t="s">
        <v>102</v>
      </c>
      <c r="T152" s="15" t="s">
        <v>44</v>
      </c>
      <c r="U152" s="17">
        <v>3</v>
      </c>
    </row>
    <row r="153" spans="1:21" x14ac:dyDescent="0.8">
      <c r="A153" s="13" t="s">
        <v>280</v>
      </c>
      <c r="B153" s="14">
        <v>45460</v>
      </c>
      <c r="C153" s="15" t="s">
        <v>75</v>
      </c>
      <c r="D153" s="15" t="s">
        <v>65</v>
      </c>
      <c r="E153" s="15" t="s">
        <v>36</v>
      </c>
      <c r="F153" s="15" t="s">
        <v>37</v>
      </c>
      <c r="G153" s="15" t="s">
        <v>38</v>
      </c>
      <c r="H153" s="15" t="s">
        <v>39</v>
      </c>
      <c r="I153" s="15" t="s">
        <v>40</v>
      </c>
      <c r="J153" s="15" t="s">
        <v>78</v>
      </c>
      <c r="K153" s="15" t="s">
        <v>97</v>
      </c>
      <c r="L153" s="15">
        <v>3</v>
      </c>
      <c r="M153" s="16">
        <v>3.29</v>
      </c>
      <c r="N153" s="16">
        <v>9.8699999999999992</v>
      </c>
      <c r="O153" s="16">
        <v>0.49</v>
      </c>
      <c r="P153" s="16">
        <v>9.3800000000000008</v>
      </c>
      <c r="Q153" s="16">
        <v>4.57</v>
      </c>
      <c r="R153" s="16">
        <v>4.8099999999999996</v>
      </c>
      <c r="S153" s="15" t="s">
        <v>123</v>
      </c>
      <c r="T153" s="15" t="s">
        <v>63</v>
      </c>
      <c r="U153" s="17">
        <v>5</v>
      </c>
    </row>
    <row r="154" spans="1:21" x14ac:dyDescent="0.8">
      <c r="A154" s="13" t="s">
        <v>281</v>
      </c>
      <c r="B154" s="14">
        <v>45461</v>
      </c>
      <c r="C154" s="15" t="s">
        <v>81</v>
      </c>
      <c r="D154" s="15" t="s">
        <v>70</v>
      </c>
      <c r="E154" s="15" t="s">
        <v>82</v>
      </c>
      <c r="F154" s="15" t="s">
        <v>83</v>
      </c>
      <c r="G154" s="15" t="s">
        <v>84</v>
      </c>
      <c r="H154" s="15" t="s">
        <v>39</v>
      </c>
      <c r="I154" s="15" t="s">
        <v>85</v>
      </c>
      <c r="J154" s="15" t="s">
        <v>100</v>
      </c>
      <c r="K154" s="15" t="s">
        <v>117</v>
      </c>
      <c r="L154" s="15">
        <v>1</v>
      </c>
      <c r="M154" s="16">
        <v>3.37</v>
      </c>
      <c r="N154" s="16">
        <v>3.37</v>
      </c>
      <c r="O154" s="16">
        <v>0</v>
      </c>
      <c r="P154" s="16">
        <v>3.37</v>
      </c>
      <c r="Q154" s="16">
        <v>1.67</v>
      </c>
      <c r="R154" s="16">
        <v>1.7</v>
      </c>
      <c r="S154" s="15" t="s">
        <v>72</v>
      </c>
      <c r="T154" s="15" t="s">
        <v>144</v>
      </c>
      <c r="U154" s="17">
        <v>5</v>
      </c>
    </row>
    <row r="155" spans="1:21" x14ac:dyDescent="0.8">
      <c r="A155" s="13" t="s">
        <v>282</v>
      </c>
      <c r="B155" s="14">
        <v>45461</v>
      </c>
      <c r="C155" s="15" t="s">
        <v>81</v>
      </c>
      <c r="D155" s="15" t="s">
        <v>35</v>
      </c>
      <c r="E155" s="15" t="s">
        <v>36</v>
      </c>
      <c r="F155" s="15" t="s">
        <v>37</v>
      </c>
      <c r="G155" s="15" t="s">
        <v>38</v>
      </c>
      <c r="H155" s="15" t="s">
        <v>39</v>
      </c>
      <c r="I155" s="15" t="s">
        <v>40</v>
      </c>
      <c r="J155" s="15" t="s">
        <v>100</v>
      </c>
      <c r="K155" s="15" t="s">
        <v>215</v>
      </c>
      <c r="L155" s="15">
        <v>2</v>
      </c>
      <c r="M155" s="16">
        <v>7.88</v>
      </c>
      <c r="N155" s="16">
        <v>15.76</v>
      </c>
      <c r="O155" s="16">
        <v>0</v>
      </c>
      <c r="P155" s="16">
        <v>15.76</v>
      </c>
      <c r="Q155" s="16">
        <v>6.58</v>
      </c>
      <c r="R155" s="16">
        <v>9.18</v>
      </c>
      <c r="S155" s="15" t="s">
        <v>123</v>
      </c>
      <c r="T155" s="15" t="s">
        <v>55</v>
      </c>
      <c r="U155" s="17">
        <v>5</v>
      </c>
    </row>
    <row r="156" spans="1:21" x14ac:dyDescent="0.8">
      <c r="A156" s="13" t="s">
        <v>283</v>
      </c>
      <c r="B156" s="14">
        <v>45462</v>
      </c>
      <c r="C156" s="15" t="s">
        <v>34</v>
      </c>
      <c r="D156" s="15" t="s">
        <v>35</v>
      </c>
      <c r="E156" s="15" t="s">
        <v>114</v>
      </c>
      <c r="F156" s="15" t="s">
        <v>115</v>
      </c>
      <c r="G156" s="15" t="s">
        <v>116</v>
      </c>
      <c r="H156" s="15" t="s">
        <v>39</v>
      </c>
      <c r="I156" s="15" t="s">
        <v>51</v>
      </c>
      <c r="J156" s="15" t="s">
        <v>52</v>
      </c>
      <c r="K156" s="15" t="s">
        <v>180</v>
      </c>
      <c r="L156" s="15">
        <v>1</v>
      </c>
      <c r="M156" s="16">
        <v>3.86</v>
      </c>
      <c r="N156" s="16">
        <v>3.86</v>
      </c>
      <c r="O156" s="16">
        <v>0</v>
      </c>
      <c r="P156" s="16">
        <v>3.86</v>
      </c>
      <c r="Q156" s="16">
        <v>2.02</v>
      </c>
      <c r="R156" s="16">
        <v>1.84</v>
      </c>
      <c r="S156" s="15" t="s">
        <v>72</v>
      </c>
      <c r="T156" s="15" t="s">
        <v>44</v>
      </c>
      <c r="U156" s="17">
        <v>5</v>
      </c>
    </row>
    <row r="157" spans="1:21" x14ac:dyDescent="0.8">
      <c r="A157" s="13" t="s">
        <v>284</v>
      </c>
      <c r="B157" s="14">
        <v>45463</v>
      </c>
      <c r="C157" s="15" t="s">
        <v>46</v>
      </c>
      <c r="D157" s="15" t="s">
        <v>47</v>
      </c>
      <c r="E157" s="15" t="s">
        <v>48</v>
      </c>
      <c r="F157" s="15" t="s">
        <v>49</v>
      </c>
      <c r="G157" s="15" t="s">
        <v>50</v>
      </c>
      <c r="H157" s="15" t="s">
        <v>39</v>
      </c>
      <c r="I157" s="15" t="s">
        <v>51</v>
      </c>
      <c r="J157" s="15" t="s">
        <v>100</v>
      </c>
      <c r="K157" s="15" t="s">
        <v>101</v>
      </c>
      <c r="L157" s="15">
        <v>1</v>
      </c>
      <c r="M157" s="16">
        <v>3.53</v>
      </c>
      <c r="N157" s="16">
        <v>3.53</v>
      </c>
      <c r="O157" s="16">
        <v>0</v>
      </c>
      <c r="P157" s="16">
        <v>3.53</v>
      </c>
      <c r="Q157" s="16">
        <v>1.79</v>
      </c>
      <c r="R157" s="16">
        <v>1.74</v>
      </c>
      <c r="S157" s="15" t="s">
        <v>54</v>
      </c>
      <c r="T157" s="15" t="s">
        <v>144</v>
      </c>
      <c r="U157" s="17">
        <v>4</v>
      </c>
    </row>
    <row r="158" spans="1:21" x14ac:dyDescent="0.8">
      <c r="A158" s="13" t="s">
        <v>285</v>
      </c>
      <c r="B158" s="14">
        <v>45464</v>
      </c>
      <c r="C158" s="15" t="s">
        <v>57</v>
      </c>
      <c r="D158" s="15" t="s">
        <v>35</v>
      </c>
      <c r="E158" s="15" t="s">
        <v>104</v>
      </c>
      <c r="F158" s="15" t="s">
        <v>105</v>
      </c>
      <c r="G158" s="15" t="s">
        <v>106</v>
      </c>
      <c r="H158" s="15" t="s">
        <v>39</v>
      </c>
      <c r="I158" s="15" t="s">
        <v>85</v>
      </c>
      <c r="J158" s="15" t="s">
        <v>78</v>
      </c>
      <c r="K158" s="15" t="s">
        <v>138</v>
      </c>
      <c r="L158" s="15">
        <v>1</v>
      </c>
      <c r="M158" s="16">
        <v>4.41</v>
      </c>
      <c r="N158" s="16">
        <v>4.41</v>
      </c>
      <c r="O158" s="16">
        <v>0.44</v>
      </c>
      <c r="P158" s="16">
        <v>3.97</v>
      </c>
      <c r="Q158" s="16">
        <v>1.66</v>
      </c>
      <c r="R158" s="16">
        <v>2.31</v>
      </c>
      <c r="S158" s="15" t="s">
        <v>43</v>
      </c>
      <c r="T158" s="15" t="s">
        <v>73</v>
      </c>
      <c r="U158" s="17">
        <v>4</v>
      </c>
    </row>
    <row r="159" spans="1:21" x14ac:dyDescent="0.8">
      <c r="A159" s="13" t="s">
        <v>286</v>
      </c>
      <c r="B159" s="14">
        <v>45465</v>
      </c>
      <c r="C159" s="15" t="s">
        <v>69</v>
      </c>
      <c r="D159" s="15" t="s">
        <v>35</v>
      </c>
      <c r="E159" s="15" t="s">
        <v>104</v>
      </c>
      <c r="F159" s="15" t="s">
        <v>105</v>
      </c>
      <c r="G159" s="15" t="s">
        <v>106</v>
      </c>
      <c r="H159" s="15" t="s">
        <v>39</v>
      </c>
      <c r="I159" s="15" t="s">
        <v>85</v>
      </c>
      <c r="J159" s="15" t="s">
        <v>61</v>
      </c>
      <c r="K159" s="15" t="s">
        <v>121</v>
      </c>
      <c r="L159" s="15">
        <v>2</v>
      </c>
      <c r="M159" s="16">
        <v>9.2100000000000009</v>
      </c>
      <c r="N159" s="16">
        <v>18.420000000000002</v>
      </c>
      <c r="O159" s="16">
        <v>1.84</v>
      </c>
      <c r="P159" s="16">
        <v>16.579999999999998</v>
      </c>
      <c r="Q159" s="16">
        <v>6</v>
      </c>
      <c r="R159" s="16">
        <v>10.58</v>
      </c>
      <c r="S159" s="15" t="s">
        <v>102</v>
      </c>
      <c r="T159" s="15" t="s">
        <v>144</v>
      </c>
      <c r="U159" s="17">
        <v>2</v>
      </c>
    </row>
    <row r="160" spans="1:21" x14ac:dyDescent="0.8">
      <c r="A160" s="13" t="s">
        <v>287</v>
      </c>
      <c r="B160" s="14">
        <v>45467</v>
      </c>
      <c r="C160" s="15" t="s">
        <v>75</v>
      </c>
      <c r="D160" s="15" t="s">
        <v>70</v>
      </c>
      <c r="E160" s="15" t="s">
        <v>82</v>
      </c>
      <c r="F160" s="15" t="s">
        <v>83</v>
      </c>
      <c r="G160" s="15" t="s">
        <v>84</v>
      </c>
      <c r="H160" s="15" t="s">
        <v>39</v>
      </c>
      <c r="I160" s="15" t="s">
        <v>85</v>
      </c>
      <c r="J160" s="15" t="s">
        <v>52</v>
      </c>
      <c r="K160" s="15" t="s">
        <v>180</v>
      </c>
      <c r="L160" s="15">
        <v>4</v>
      </c>
      <c r="M160" s="16">
        <v>3.84</v>
      </c>
      <c r="N160" s="16">
        <v>15.36</v>
      </c>
      <c r="O160" s="16">
        <v>0.77</v>
      </c>
      <c r="P160" s="16">
        <v>14.59</v>
      </c>
      <c r="Q160" s="16">
        <v>6.72</v>
      </c>
      <c r="R160" s="16">
        <v>7.87</v>
      </c>
      <c r="S160" s="15" t="s">
        <v>123</v>
      </c>
      <c r="T160" s="15" t="s">
        <v>87</v>
      </c>
      <c r="U160" s="17">
        <v>5</v>
      </c>
    </row>
    <row r="161" spans="1:21" x14ac:dyDescent="0.8">
      <c r="A161" s="13" t="s">
        <v>288</v>
      </c>
      <c r="B161" s="14">
        <v>45468</v>
      </c>
      <c r="C161" s="15" t="s">
        <v>81</v>
      </c>
      <c r="D161" s="15" t="s">
        <v>35</v>
      </c>
      <c r="E161" s="15" t="s">
        <v>114</v>
      </c>
      <c r="F161" s="15" t="s">
        <v>115</v>
      </c>
      <c r="G161" s="15" t="s">
        <v>116</v>
      </c>
      <c r="H161" s="15" t="s">
        <v>39</v>
      </c>
      <c r="I161" s="15" t="s">
        <v>51</v>
      </c>
      <c r="J161" s="15" t="s">
        <v>61</v>
      </c>
      <c r="K161" s="15" t="s">
        <v>161</v>
      </c>
      <c r="L161" s="15">
        <v>2</v>
      </c>
      <c r="M161" s="16">
        <v>10.93</v>
      </c>
      <c r="N161" s="16">
        <v>21.86</v>
      </c>
      <c r="O161" s="16">
        <v>0</v>
      </c>
      <c r="P161" s="16">
        <v>21.86</v>
      </c>
      <c r="Q161" s="16">
        <v>8.4499999999999993</v>
      </c>
      <c r="R161" s="16">
        <v>13.41</v>
      </c>
      <c r="S161" s="15" t="s">
        <v>43</v>
      </c>
      <c r="T161" s="15" t="s">
        <v>63</v>
      </c>
      <c r="U161" s="17">
        <v>5</v>
      </c>
    </row>
    <row r="162" spans="1:21" x14ac:dyDescent="0.8">
      <c r="A162" s="13" t="s">
        <v>289</v>
      </c>
      <c r="B162" s="14">
        <v>45468</v>
      </c>
      <c r="C162" s="15" t="s">
        <v>81</v>
      </c>
      <c r="D162" s="15" t="s">
        <v>47</v>
      </c>
      <c r="E162" s="15" t="s">
        <v>114</v>
      </c>
      <c r="F162" s="15" t="s">
        <v>115</v>
      </c>
      <c r="G162" s="15" t="s">
        <v>116</v>
      </c>
      <c r="H162" s="15" t="s">
        <v>39</v>
      </c>
      <c r="I162" s="15" t="s">
        <v>51</v>
      </c>
      <c r="J162" s="15" t="s">
        <v>41</v>
      </c>
      <c r="K162" s="15" t="s">
        <v>42</v>
      </c>
      <c r="L162" s="15">
        <v>2</v>
      </c>
      <c r="M162" s="16">
        <v>4.38</v>
      </c>
      <c r="N162" s="16">
        <v>8.76</v>
      </c>
      <c r="O162" s="16">
        <v>0</v>
      </c>
      <c r="P162" s="16">
        <v>8.76</v>
      </c>
      <c r="Q162" s="16">
        <v>3.28</v>
      </c>
      <c r="R162" s="16">
        <v>5.48</v>
      </c>
      <c r="S162" s="15" t="s">
        <v>72</v>
      </c>
      <c r="T162" s="15" t="s">
        <v>44</v>
      </c>
      <c r="U162" s="17">
        <v>3</v>
      </c>
    </row>
    <row r="163" spans="1:21" x14ac:dyDescent="0.8">
      <c r="A163" s="13" t="s">
        <v>290</v>
      </c>
      <c r="B163" s="14">
        <v>45468</v>
      </c>
      <c r="C163" s="15" t="s">
        <v>81</v>
      </c>
      <c r="D163" s="15" t="s">
        <v>70</v>
      </c>
      <c r="E163" s="15" t="s">
        <v>163</v>
      </c>
      <c r="F163" s="15" t="s">
        <v>164</v>
      </c>
      <c r="G163" s="15" t="s">
        <v>165</v>
      </c>
      <c r="H163" s="15" t="s">
        <v>39</v>
      </c>
      <c r="I163" s="15" t="s">
        <v>85</v>
      </c>
      <c r="J163" s="15" t="s">
        <v>78</v>
      </c>
      <c r="K163" s="15" t="s">
        <v>97</v>
      </c>
      <c r="L163" s="15">
        <v>5</v>
      </c>
      <c r="M163" s="16">
        <v>3.21</v>
      </c>
      <c r="N163" s="16">
        <v>16.05</v>
      </c>
      <c r="O163" s="16">
        <v>2.41</v>
      </c>
      <c r="P163" s="16">
        <v>13.64</v>
      </c>
      <c r="Q163" s="16">
        <v>5.29</v>
      </c>
      <c r="R163" s="16">
        <v>8.35</v>
      </c>
      <c r="S163" s="15" t="s">
        <v>102</v>
      </c>
      <c r="T163" s="15" t="s">
        <v>73</v>
      </c>
      <c r="U163" s="17">
        <v>1</v>
      </c>
    </row>
    <row r="164" spans="1:21" x14ac:dyDescent="0.8">
      <c r="A164" s="13" t="s">
        <v>291</v>
      </c>
      <c r="B164" s="14">
        <v>45468</v>
      </c>
      <c r="C164" s="15" t="s">
        <v>81</v>
      </c>
      <c r="D164" s="15" t="s">
        <v>65</v>
      </c>
      <c r="E164" s="15" t="s">
        <v>131</v>
      </c>
      <c r="F164" s="15" t="s">
        <v>132</v>
      </c>
      <c r="G164" s="15" t="s">
        <v>133</v>
      </c>
      <c r="H164" s="15" t="s">
        <v>39</v>
      </c>
      <c r="I164" s="15" t="s">
        <v>134</v>
      </c>
      <c r="J164" s="15" t="s">
        <v>66</v>
      </c>
      <c r="K164" s="15" t="s">
        <v>107</v>
      </c>
      <c r="L164" s="15">
        <v>3</v>
      </c>
      <c r="M164" s="16">
        <v>3.8</v>
      </c>
      <c r="N164" s="16">
        <v>11.4</v>
      </c>
      <c r="O164" s="16">
        <v>2.2799999999999998</v>
      </c>
      <c r="P164" s="16">
        <v>9.1199999999999992</v>
      </c>
      <c r="Q164" s="16">
        <v>3.88</v>
      </c>
      <c r="R164" s="16">
        <v>5.24</v>
      </c>
      <c r="S164" s="15" t="s">
        <v>43</v>
      </c>
      <c r="T164" s="15" t="s">
        <v>55</v>
      </c>
      <c r="U164" s="17">
        <v>4</v>
      </c>
    </row>
    <row r="165" spans="1:21" x14ac:dyDescent="0.8">
      <c r="A165" s="13" t="s">
        <v>292</v>
      </c>
      <c r="B165" s="14">
        <v>45471</v>
      </c>
      <c r="C165" s="15" t="s">
        <v>57</v>
      </c>
      <c r="D165" s="15" t="s">
        <v>47</v>
      </c>
      <c r="E165" s="15" t="s">
        <v>58</v>
      </c>
      <c r="F165" s="15" t="s">
        <v>59</v>
      </c>
      <c r="G165" s="15" t="s">
        <v>60</v>
      </c>
      <c r="H165" s="15" t="s">
        <v>39</v>
      </c>
      <c r="I165" s="15" t="s">
        <v>40</v>
      </c>
      <c r="J165" s="15" t="s">
        <v>52</v>
      </c>
      <c r="K165" s="15" t="s">
        <v>53</v>
      </c>
      <c r="L165" s="15">
        <v>1</v>
      </c>
      <c r="M165" s="16">
        <v>2.52</v>
      </c>
      <c r="N165" s="16">
        <v>2.52</v>
      </c>
      <c r="O165" s="16">
        <v>0</v>
      </c>
      <c r="P165" s="16">
        <v>2.52</v>
      </c>
      <c r="Q165" s="16">
        <v>1.1599999999999999</v>
      </c>
      <c r="R165" s="16">
        <v>1.36</v>
      </c>
      <c r="S165" s="15" t="s">
        <v>54</v>
      </c>
      <c r="T165" s="15" t="s">
        <v>55</v>
      </c>
      <c r="U165" s="17">
        <v>5</v>
      </c>
    </row>
    <row r="166" spans="1:21" x14ac:dyDescent="0.8">
      <c r="A166" s="13" t="s">
        <v>293</v>
      </c>
      <c r="B166" s="14">
        <v>45472</v>
      </c>
      <c r="C166" s="15" t="s">
        <v>69</v>
      </c>
      <c r="D166" s="15" t="s">
        <v>47</v>
      </c>
      <c r="E166" s="15" t="s">
        <v>104</v>
      </c>
      <c r="F166" s="15" t="s">
        <v>105</v>
      </c>
      <c r="G166" s="15" t="s">
        <v>106</v>
      </c>
      <c r="H166" s="15" t="s">
        <v>39</v>
      </c>
      <c r="I166" s="15" t="s">
        <v>85</v>
      </c>
      <c r="J166" s="15" t="s">
        <v>100</v>
      </c>
      <c r="K166" s="15" t="s">
        <v>101</v>
      </c>
      <c r="L166" s="15">
        <v>2</v>
      </c>
      <c r="M166" s="16">
        <v>3.57</v>
      </c>
      <c r="N166" s="16">
        <v>7.14</v>
      </c>
      <c r="O166" s="16">
        <v>0.36</v>
      </c>
      <c r="P166" s="16">
        <v>6.78</v>
      </c>
      <c r="Q166" s="16">
        <v>3.01</v>
      </c>
      <c r="R166" s="16">
        <v>3.77</v>
      </c>
      <c r="S166" s="15" t="s">
        <v>43</v>
      </c>
      <c r="T166" s="15" t="s">
        <v>144</v>
      </c>
      <c r="U166" s="17">
        <v>4</v>
      </c>
    </row>
    <row r="167" spans="1:21" x14ac:dyDescent="0.8">
      <c r="A167" s="13" t="s">
        <v>294</v>
      </c>
      <c r="B167" s="14">
        <v>45473</v>
      </c>
      <c r="C167" s="15" t="s">
        <v>99</v>
      </c>
      <c r="D167" s="15" t="s">
        <v>65</v>
      </c>
      <c r="E167" s="15" t="s">
        <v>58</v>
      </c>
      <c r="F167" s="15" t="s">
        <v>59</v>
      </c>
      <c r="G167" s="15" t="s">
        <v>60</v>
      </c>
      <c r="H167" s="15" t="s">
        <v>39</v>
      </c>
      <c r="I167" s="15" t="s">
        <v>40</v>
      </c>
      <c r="J167" s="15" t="s">
        <v>61</v>
      </c>
      <c r="K167" s="15" t="s">
        <v>119</v>
      </c>
      <c r="L167" s="15">
        <v>1</v>
      </c>
      <c r="M167" s="16">
        <v>6.88</v>
      </c>
      <c r="N167" s="16">
        <v>6.88</v>
      </c>
      <c r="O167" s="16">
        <v>0.34</v>
      </c>
      <c r="P167" s="16">
        <v>6.54</v>
      </c>
      <c r="Q167" s="16">
        <v>2.58</v>
      </c>
      <c r="R167" s="16">
        <v>3.96</v>
      </c>
      <c r="S167" s="15" t="s">
        <v>123</v>
      </c>
      <c r="T167" s="15" t="s">
        <v>55</v>
      </c>
      <c r="U167" s="17">
        <v>3</v>
      </c>
    </row>
    <row r="168" spans="1:21" x14ac:dyDescent="0.8">
      <c r="A168" s="13" t="s">
        <v>295</v>
      </c>
      <c r="B168" s="14">
        <v>45475</v>
      </c>
      <c r="C168" s="15" t="s">
        <v>81</v>
      </c>
      <c r="D168" s="15" t="s">
        <v>35</v>
      </c>
      <c r="E168" s="15" t="s">
        <v>58</v>
      </c>
      <c r="F168" s="15" t="s">
        <v>59</v>
      </c>
      <c r="G168" s="15" t="s">
        <v>60</v>
      </c>
      <c r="H168" s="15" t="s">
        <v>39</v>
      </c>
      <c r="I168" s="15" t="s">
        <v>40</v>
      </c>
      <c r="J168" s="15" t="s">
        <v>66</v>
      </c>
      <c r="K168" s="15" t="s">
        <v>95</v>
      </c>
      <c r="L168" s="15">
        <v>2</v>
      </c>
      <c r="M168" s="16">
        <v>1.99</v>
      </c>
      <c r="N168" s="16">
        <v>3.98</v>
      </c>
      <c r="O168" s="16">
        <v>0</v>
      </c>
      <c r="P168" s="16">
        <v>3.98</v>
      </c>
      <c r="Q168" s="16">
        <v>2.17</v>
      </c>
      <c r="R168" s="16">
        <v>1.81</v>
      </c>
      <c r="S168" s="15" t="s">
        <v>72</v>
      </c>
      <c r="T168" s="15" t="s">
        <v>55</v>
      </c>
      <c r="U168" s="17">
        <v>4</v>
      </c>
    </row>
    <row r="169" spans="1:21" x14ac:dyDescent="0.8">
      <c r="A169" s="13" t="s">
        <v>297</v>
      </c>
      <c r="B169" s="14">
        <v>45476</v>
      </c>
      <c r="C169" s="15" t="s">
        <v>34</v>
      </c>
      <c r="D169" s="15" t="s">
        <v>35</v>
      </c>
      <c r="E169" s="15" t="s">
        <v>36</v>
      </c>
      <c r="F169" s="15" t="s">
        <v>37</v>
      </c>
      <c r="G169" s="15" t="s">
        <v>38</v>
      </c>
      <c r="H169" s="15" t="s">
        <v>39</v>
      </c>
      <c r="I169" s="15" t="s">
        <v>40</v>
      </c>
      <c r="J169" s="15" t="s">
        <v>66</v>
      </c>
      <c r="K169" s="15" t="s">
        <v>95</v>
      </c>
      <c r="L169" s="15">
        <v>3</v>
      </c>
      <c r="M169" s="16">
        <v>1.99</v>
      </c>
      <c r="N169" s="16">
        <v>5.97</v>
      </c>
      <c r="O169" s="16">
        <v>0.3</v>
      </c>
      <c r="P169" s="16">
        <v>5.67</v>
      </c>
      <c r="Q169" s="16">
        <v>2.12</v>
      </c>
      <c r="R169" s="16">
        <v>3.55</v>
      </c>
      <c r="S169" s="15" t="s">
        <v>102</v>
      </c>
      <c r="T169" s="15" t="s">
        <v>44</v>
      </c>
      <c r="U169" s="17">
        <v>4</v>
      </c>
    </row>
    <row r="170" spans="1:21" x14ac:dyDescent="0.8">
      <c r="A170" s="13" t="s">
        <v>298</v>
      </c>
      <c r="B170" s="14">
        <v>45477</v>
      </c>
      <c r="C170" s="15" t="s">
        <v>46</v>
      </c>
      <c r="D170" s="15" t="s">
        <v>70</v>
      </c>
      <c r="E170" s="15" t="s">
        <v>131</v>
      </c>
      <c r="F170" s="15" t="s">
        <v>132</v>
      </c>
      <c r="G170" s="15" t="s">
        <v>133</v>
      </c>
      <c r="H170" s="15" t="s">
        <v>39</v>
      </c>
      <c r="I170" s="15" t="s">
        <v>134</v>
      </c>
      <c r="J170" s="15" t="s">
        <v>41</v>
      </c>
      <c r="K170" s="15" t="s">
        <v>154</v>
      </c>
      <c r="L170" s="15">
        <v>1</v>
      </c>
      <c r="M170" s="16">
        <v>1.5</v>
      </c>
      <c r="N170" s="16">
        <v>1.5</v>
      </c>
      <c r="O170" s="16">
        <v>0.15</v>
      </c>
      <c r="P170" s="16">
        <v>1.35</v>
      </c>
      <c r="Q170" s="16">
        <v>0.74</v>
      </c>
      <c r="R170" s="16">
        <v>0.61</v>
      </c>
      <c r="S170" s="15" t="s">
        <v>93</v>
      </c>
      <c r="T170" s="15" t="s">
        <v>144</v>
      </c>
      <c r="U170" s="17">
        <v>4</v>
      </c>
    </row>
    <row r="171" spans="1:21" x14ac:dyDescent="0.8">
      <c r="A171" s="13" t="s">
        <v>299</v>
      </c>
      <c r="B171" s="14">
        <v>45478</v>
      </c>
      <c r="C171" s="15" t="s">
        <v>57</v>
      </c>
      <c r="D171" s="15" t="s">
        <v>35</v>
      </c>
      <c r="E171" s="15" t="s">
        <v>36</v>
      </c>
      <c r="F171" s="15" t="s">
        <v>37</v>
      </c>
      <c r="G171" s="15" t="s">
        <v>38</v>
      </c>
      <c r="H171" s="15" t="s">
        <v>39</v>
      </c>
      <c r="I171" s="15" t="s">
        <v>40</v>
      </c>
      <c r="J171" s="15" t="s">
        <v>78</v>
      </c>
      <c r="K171" s="15" t="s">
        <v>97</v>
      </c>
      <c r="L171" s="15">
        <v>1</v>
      </c>
      <c r="M171" s="16">
        <v>3.34</v>
      </c>
      <c r="N171" s="16">
        <v>3.34</v>
      </c>
      <c r="O171" s="16">
        <v>0</v>
      </c>
      <c r="P171" s="16">
        <v>3.34</v>
      </c>
      <c r="Q171" s="16">
        <v>1.53</v>
      </c>
      <c r="R171" s="16">
        <v>1.81</v>
      </c>
      <c r="S171" s="15" t="s">
        <v>123</v>
      </c>
      <c r="T171" s="15" t="s">
        <v>63</v>
      </c>
      <c r="U171" s="17">
        <v>4</v>
      </c>
    </row>
    <row r="172" spans="1:21" x14ac:dyDescent="0.8">
      <c r="A172" s="13" t="s">
        <v>300</v>
      </c>
      <c r="B172" s="14">
        <v>45478</v>
      </c>
      <c r="C172" s="15" t="s">
        <v>57</v>
      </c>
      <c r="D172" s="15" t="s">
        <v>47</v>
      </c>
      <c r="E172" s="15" t="s">
        <v>163</v>
      </c>
      <c r="F172" s="15" t="s">
        <v>164</v>
      </c>
      <c r="G172" s="15" t="s">
        <v>165</v>
      </c>
      <c r="H172" s="15" t="s">
        <v>39</v>
      </c>
      <c r="I172" s="15" t="s">
        <v>85</v>
      </c>
      <c r="J172" s="15" t="s">
        <v>66</v>
      </c>
      <c r="K172" s="15" t="s">
        <v>183</v>
      </c>
      <c r="L172" s="15">
        <v>2</v>
      </c>
      <c r="M172" s="16">
        <v>1.48</v>
      </c>
      <c r="N172" s="16">
        <v>2.96</v>
      </c>
      <c r="O172" s="16">
        <v>0.15</v>
      </c>
      <c r="P172" s="16">
        <v>2.81</v>
      </c>
      <c r="Q172" s="16">
        <v>1.43</v>
      </c>
      <c r="R172" s="16">
        <v>1.38</v>
      </c>
      <c r="S172" s="15" t="s">
        <v>54</v>
      </c>
      <c r="T172" s="15" t="s">
        <v>55</v>
      </c>
      <c r="U172" s="17">
        <v>4</v>
      </c>
    </row>
    <row r="173" spans="1:21" x14ac:dyDescent="0.8">
      <c r="A173" s="13" t="s">
        <v>301</v>
      </c>
      <c r="B173" s="14">
        <v>45480</v>
      </c>
      <c r="C173" s="15" t="s">
        <v>99</v>
      </c>
      <c r="D173" s="15" t="s">
        <v>65</v>
      </c>
      <c r="E173" s="15" t="s">
        <v>48</v>
      </c>
      <c r="F173" s="15" t="s">
        <v>49</v>
      </c>
      <c r="G173" s="15" t="s">
        <v>50</v>
      </c>
      <c r="H173" s="15" t="s">
        <v>39</v>
      </c>
      <c r="I173" s="15" t="s">
        <v>51</v>
      </c>
      <c r="J173" s="15" t="s">
        <v>78</v>
      </c>
      <c r="K173" s="15" t="s">
        <v>138</v>
      </c>
      <c r="L173" s="15">
        <v>2</v>
      </c>
      <c r="M173" s="16">
        <v>4.59</v>
      </c>
      <c r="N173" s="16">
        <v>9.18</v>
      </c>
      <c r="O173" s="16">
        <v>0.92</v>
      </c>
      <c r="P173" s="16">
        <v>8.26</v>
      </c>
      <c r="Q173" s="16">
        <v>3.04</v>
      </c>
      <c r="R173" s="16">
        <v>5.22</v>
      </c>
      <c r="S173" s="15" t="s">
        <v>72</v>
      </c>
      <c r="T173" s="15" t="s">
        <v>73</v>
      </c>
      <c r="U173" s="17">
        <v>5</v>
      </c>
    </row>
    <row r="174" spans="1:21" x14ac:dyDescent="0.8">
      <c r="A174" s="13" t="s">
        <v>302</v>
      </c>
      <c r="B174" s="14">
        <v>45480</v>
      </c>
      <c r="C174" s="15" t="s">
        <v>99</v>
      </c>
      <c r="D174" s="15" t="s">
        <v>70</v>
      </c>
      <c r="E174" s="15" t="s">
        <v>114</v>
      </c>
      <c r="F174" s="15" t="s">
        <v>115</v>
      </c>
      <c r="G174" s="15" t="s">
        <v>116</v>
      </c>
      <c r="H174" s="15" t="s">
        <v>39</v>
      </c>
      <c r="I174" s="15" t="s">
        <v>51</v>
      </c>
      <c r="J174" s="15" t="s">
        <v>78</v>
      </c>
      <c r="K174" s="15" t="s">
        <v>141</v>
      </c>
      <c r="L174" s="15">
        <v>4</v>
      </c>
      <c r="M174" s="16">
        <v>6.45</v>
      </c>
      <c r="N174" s="16">
        <v>25.8</v>
      </c>
      <c r="O174" s="16">
        <v>5.16</v>
      </c>
      <c r="P174" s="16">
        <v>20.64</v>
      </c>
      <c r="Q174" s="16">
        <v>9.27</v>
      </c>
      <c r="R174" s="16">
        <v>11.37</v>
      </c>
      <c r="S174" s="15" t="s">
        <v>72</v>
      </c>
      <c r="T174" s="15" t="s">
        <v>55</v>
      </c>
      <c r="U174" s="17">
        <v>4</v>
      </c>
    </row>
    <row r="175" spans="1:21" x14ac:dyDescent="0.8">
      <c r="A175" s="13" t="s">
        <v>303</v>
      </c>
      <c r="B175" s="14">
        <v>45481</v>
      </c>
      <c r="C175" s="15" t="s">
        <v>75</v>
      </c>
      <c r="D175" s="15" t="s">
        <v>70</v>
      </c>
      <c r="E175" s="15" t="s">
        <v>89</v>
      </c>
      <c r="F175" s="15" t="s">
        <v>90</v>
      </c>
      <c r="G175" s="15" t="s">
        <v>91</v>
      </c>
      <c r="H175" s="15" t="s">
        <v>39</v>
      </c>
      <c r="I175" s="15" t="s">
        <v>92</v>
      </c>
      <c r="J175" s="15" t="s">
        <v>78</v>
      </c>
      <c r="K175" s="15" t="s">
        <v>97</v>
      </c>
      <c r="L175" s="15">
        <v>3</v>
      </c>
      <c r="M175" s="16">
        <v>3.22</v>
      </c>
      <c r="N175" s="16">
        <v>9.66</v>
      </c>
      <c r="O175" s="16">
        <v>0</v>
      </c>
      <c r="P175" s="16">
        <v>9.66</v>
      </c>
      <c r="Q175" s="16">
        <v>3.57</v>
      </c>
      <c r="R175" s="16">
        <v>6.09</v>
      </c>
      <c r="S175" s="15" t="s">
        <v>72</v>
      </c>
      <c r="T175" s="15" t="s">
        <v>87</v>
      </c>
      <c r="U175" s="17">
        <v>5</v>
      </c>
    </row>
    <row r="176" spans="1:21" x14ac:dyDescent="0.8">
      <c r="A176" s="13" t="s">
        <v>304</v>
      </c>
      <c r="B176" s="14">
        <v>45481</v>
      </c>
      <c r="C176" s="15" t="s">
        <v>75</v>
      </c>
      <c r="D176" s="15" t="s">
        <v>47</v>
      </c>
      <c r="E176" s="15" t="s">
        <v>163</v>
      </c>
      <c r="F176" s="15" t="s">
        <v>164</v>
      </c>
      <c r="G176" s="15" t="s">
        <v>165</v>
      </c>
      <c r="H176" s="15" t="s">
        <v>39</v>
      </c>
      <c r="I176" s="15" t="s">
        <v>85</v>
      </c>
      <c r="J176" s="15" t="s">
        <v>78</v>
      </c>
      <c r="K176" s="15" t="s">
        <v>143</v>
      </c>
      <c r="L176" s="15">
        <v>2</v>
      </c>
      <c r="M176" s="16">
        <v>2.79</v>
      </c>
      <c r="N176" s="16">
        <v>5.58</v>
      </c>
      <c r="O176" s="16">
        <v>0</v>
      </c>
      <c r="P176" s="16">
        <v>5.58</v>
      </c>
      <c r="Q176" s="16">
        <v>2.68</v>
      </c>
      <c r="R176" s="16">
        <v>2.9</v>
      </c>
      <c r="S176" s="15" t="s">
        <v>93</v>
      </c>
      <c r="T176" s="15" t="s">
        <v>144</v>
      </c>
      <c r="U176" s="17">
        <v>5</v>
      </c>
    </row>
    <row r="177" spans="1:21" x14ac:dyDescent="0.8">
      <c r="A177" s="13" t="s">
        <v>305</v>
      </c>
      <c r="B177" s="14">
        <v>45482</v>
      </c>
      <c r="C177" s="15" t="s">
        <v>81</v>
      </c>
      <c r="D177" s="15" t="s">
        <v>47</v>
      </c>
      <c r="E177" s="15" t="s">
        <v>76</v>
      </c>
      <c r="F177" s="15" t="s">
        <v>77</v>
      </c>
      <c r="G177" s="15" t="s">
        <v>38</v>
      </c>
      <c r="H177" s="15" t="s">
        <v>39</v>
      </c>
      <c r="I177" s="15" t="s">
        <v>40</v>
      </c>
      <c r="J177" s="15" t="s">
        <v>100</v>
      </c>
      <c r="K177" s="15" t="s">
        <v>117</v>
      </c>
      <c r="L177" s="15">
        <v>2</v>
      </c>
      <c r="M177" s="16">
        <v>3.33</v>
      </c>
      <c r="N177" s="16">
        <v>6.66</v>
      </c>
      <c r="O177" s="16">
        <v>0.67</v>
      </c>
      <c r="P177" s="16">
        <v>5.99</v>
      </c>
      <c r="Q177" s="16">
        <v>2.61</v>
      </c>
      <c r="R177" s="16">
        <v>3.38</v>
      </c>
      <c r="S177" s="15" t="s">
        <v>102</v>
      </c>
      <c r="T177" s="15" t="s">
        <v>73</v>
      </c>
      <c r="U177" s="17">
        <v>1</v>
      </c>
    </row>
    <row r="178" spans="1:21" x14ac:dyDescent="0.8">
      <c r="A178" s="13" t="s">
        <v>306</v>
      </c>
      <c r="B178" s="14">
        <v>45483</v>
      </c>
      <c r="C178" s="15" t="s">
        <v>34</v>
      </c>
      <c r="D178" s="15" t="s">
        <v>47</v>
      </c>
      <c r="E178" s="15" t="s">
        <v>76</v>
      </c>
      <c r="F178" s="15" t="s">
        <v>77</v>
      </c>
      <c r="G178" s="15" t="s">
        <v>38</v>
      </c>
      <c r="H178" s="15" t="s">
        <v>39</v>
      </c>
      <c r="I178" s="15" t="s">
        <v>40</v>
      </c>
      <c r="J178" s="15" t="s">
        <v>52</v>
      </c>
      <c r="K178" s="15" t="s">
        <v>53</v>
      </c>
      <c r="L178" s="15">
        <v>1</v>
      </c>
      <c r="M178" s="16">
        <v>2.54</v>
      </c>
      <c r="N178" s="16">
        <v>2.54</v>
      </c>
      <c r="O178" s="16">
        <v>0</v>
      </c>
      <c r="P178" s="16">
        <v>2.54</v>
      </c>
      <c r="Q178" s="16">
        <v>0.94</v>
      </c>
      <c r="R178" s="16">
        <v>1.6</v>
      </c>
      <c r="S178" s="15" t="s">
        <v>54</v>
      </c>
      <c r="T178" s="15" t="s">
        <v>55</v>
      </c>
      <c r="U178" s="17">
        <v>4</v>
      </c>
    </row>
    <row r="179" spans="1:21" x14ac:dyDescent="0.8">
      <c r="A179" s="13" t="s">
        <v>307</v>
      </c>
      <c r="B179" s="14">
        <v>45483</v>
      </c>
      <c r="C179" s="15" t="s">
        <v>34</v>
      </c>
      <c r="D179" s="15" t="s">
        <v>47</v>
      </c>
      <c r="E179" s="15" t="s">
        <v>36</v>
      </c>
      <c r="F179" s="15" t="s">
        <v>37</v>
      </c>
      <c r="G179" s="15" t="s">
        <v>38</v>
      </c>
      <c r="H179" s="15" t="s">
        <v>39</v>
      </c>
      <c r="I179" s="15" t="s">
        <v>40</v>
      </c>
      <c r="J179" s="15" t="s">
        <v>78</v>
      </c>
      <c r="K179" s="15" t="s">
        <v>143</v>
      </c>
      <c r="L179" s="15">
        <v>1</v>
      </c>
      <c r="M179" s="16">
        <v>2.71</v>
      </c>
      <c r="N179" s="16">
        <v>2.71</v>
      </c>
      <c r="O179" s="16">
        <v>0.41</v>
      </c>
      <c r="P179" s="16">
        <v>2.2999999999999998</v>
      </c>
      <c r="Q179" s="16">
        <v>1.19</v>
      </c>
      <c r="R179" s="16">
        <v>1.1100000000000001</v>
      </c>
      <c r="S179" s="15" t="s">
        <v>54</v>
      </c>
      <c r="T179" s="15" t="s">
        <v>55</v>
      </c>
      <c r="U179" s="17">
        <v>3</v>
      </c>
    </row>
    <row r="180" spans="1:21" x14ac:dyDescent="0.8">
      <c r="A180" s="13" t="s">
        <v>308</v>
      </c>
      <c r="B180" s="14">
        <v>45483</v>
      </c>
      <c r="C180" s="15" t="s">
        <v>34</v>
      </c>
      <c r="D180" s="15" t="s">
        <v>35</v>
      </c>
      <c r="E180" s="15" t="s">
        <v>104</v>
      </c>
      <c r="F180" s="15" t="s">
        <v>105</v>
      </c>
      <c r="G180" s="15" t="s">
        <v>106</v>
      </c>
      <c r="H180" s="15" t="s">
        <v>39</v>
      </c>
      <c r="I180" s="15" t="s">
        <v>85</v>
      </c>
      <c r="J180" s="15" t="s">
        <v>66</v>
      </c>
      <c r="K180" s="15" t="s">
        <v>67</v>
      </c>
      <c r="L180" s="15">
        <v>1</v>
      </c>
      <c r="M180" s="16">
        <v>1.01</v>
      </c>
      <c r="N180" s="16">
        <v>1.01</v>
      </c>
      <c r="O180" s="16">
        <v>0.05</v>
      </c>
      <c r="P180" s="16">
        <v>0.96</v>
      </c>
      <c r="Q180" s="16">
        <v>0.38</v>
      </c>
      <c r="R180" s="16">
        <v>0.57999999999999996</v>
      </c>
      <c r="S180" s="15" t="s">
        <v>54</v>
      </c>
      <c r="T180" s="15" t="s">
        <v>55</v>
      </c>
      <c r="U180" s="17">
        <v>3</v>
      </c>
    </row>
    <row r="181" spans="1:21" x14ac:dyDescent="0.8">
      <c r="A181" s="13" t="s">
        <v>309</v>
      </c>
      <c r="B181" s="14">
        <v>45487</v>
      </c>
      <c r="C181" s="15" t="s">
        <v>99</v>
      </c>
      <c r="D181" s="15" t="s">
        <v>70</v>
      </c>
      <c r="E181" s="15" t="s">
        <v>131</v>
      </c>
      <c r="F181" s="15" t="s">
        <v>132</v>
      </c>
      <c r="G181" s="15" t="s">
        <v>133</v>
      </c>
      <c r="H181" s="15" t="s">
        <v>39</v>
      </c>
      <c r="I181" s="15" t="s">
        <v>134</v>
      </c>
      <c r="J181" s="15" t="s">
        <v>78</v>
      </c>
      <c r="K181" s="15" t="s">
        <v>97</v>
      </c>
      <c r="L181" s="15">
        <v>1</v>
      </c>
      <c r="M181" s="16">
        <v>3.3</v>
      </c>
      <c r="N181" s="16">
        <v>3.3</v>
      </c>
      <c r="O181" s="16">
        <v>0.49</v>
      </c>
      <c r="P181" s="16">
        <v>2.81</v>
      </c>
      <c r="Q181" s="16">
        <v>1.37</v>
      </c>
      <c r="R181" s="16">
        <v>1.44</v>
      </c>
      <c r="S181" s="15" t="s">
        <v>102</v>
      </c>
      <c r="T181" s="15" t="s">
        <v>73</v>
      </c>
      <c r="U181" s="17">
        <v>5</v>
      </c>
    </row>
    <row r="182" spans="1:21" x14ac:dyDescent="0.8">
      <c r="A182" s="13" t="s">
        <v>310</v>
      </c>
      <c r="B182" s="14">
        <v>45488</v>
      </c>
      <c r="C182" s="15" t="s">
        <v>75</v>
      </c>
      <c r="D182" s="15" t="s">
        <v>65</v>
      </c>
      <c r="E182" s="15" t="s">
        <v>89</v>
      </c>
      <c r="F182" s="15" t="s">
        <v>90</v>
      </c>
      <c r="G182" s="15" t="s">
        <v>91</v>
      </c>
      <c r="H182" s="15" t="s">
        <v>39</v>
      </c>
      <c r="I182" s="15" t="s">
        <v>92</v>
      </c>
      <c r="J182" s="15" t="s">
        <v>61</v>
      </c>
      <c r="K182" s="15" t="s">
        <v>161</v>
      </c>
      <c r="L182" s="15">
        <v>1</v>
      </c>
      <c r="M182" s="16">
        <v>11.2</v>
      </c>
      <c r="N182" s="16">
        <v>11.2</v>
      </c>
      <c r="O182" s="16">
        <v>0</v>
      </c>
      <c r="P182" s="16">
        <v>11.2</v>
      </c>
      <c r="Q182" s="16">
        <v>4.57</v>
      </c>
      <c r="R182" s="16">
        <v>6.63</v>
      </c>
      <c r="S182" s="15" t="s">
        <v>54</v>
      </c>
      <c r="T182" s="15" t="s">
        <v>87</v>
      </c>
      <c r="U182" s="17">
        <v>4</v>
      </c>
    </row>
    <row r="183" spans="1:21" x14ac:dyDescent="0.8">
      <c r="A183" s="13" t="s">
        <v>311</v>
      </c>
      <c r="B183" s="14">
        <v>45490</v>
      </c>
      <c r="C183" s="15" t="s">
        <v>34</v>
      </c>
      <c r="D183" s="15" t="s">
        <v>47</v>
      </c>
      <c r="E183" s="15" t="s">
        <v>82</v>
      </c>
      <c r="F183" s="15" t="s">
        <v>83</v>
      </c>
      <c r="G183" s="15" t="s">
        <v>84</v>
      </c>
      <c r="H183" s="15" t="s">
        <v>39</v>
      </c>
      <c r="I183" s="15" t="s">
        <v>85</v>
      </c>
      <c r="J183" s="15" t="s">
        <v>52</v>
      </c>
      <c r="K183" s="15" t="s">
        <v>169</v>
      </c>
      <c r="L183" s="15">
        <v>4</v>
      </c>
      <c r="M183" s="16">
        <v>3.08</v>
      </c>
      <c r="N183" s="16">
        <v>12.32</v>
      </c>
      <c r="O183" s="16">
        <v>0.62</v>
      </c>
      <c r="P183" s="16">
        <v>11.7</v>
      </c>
      <c r="Q183" s="16">
        <v>4.49</v>
      </c>
      <c r="R183" s="16">
        <v>7.21</v>
      </c>
      <c r="S183" s="15" t="s">
        <v>72</v>
      </c>
      <c r="T183" s="15" t="s">
        <v>44</v>
      </c>
      <c r="U183" s="17">
        <v>4</v>
      </c>
    </row>
    <row r="184" spans="1:21" x14ac:dyDescent="0.8">
      <c r="A184" s="13" t="s">
        <v>312</v>
      </c>
      <c r="B184" s="14">
        <v>45491</v>
      </c>
      <c r="C184" s="15" t="s">
        <v>46</v>
      </c>
      <c r="D184" s="15" t="s">
        <v>47</v>
      </c>
      <c r="E184" s="15" t="s">
        <v>163</v>
      </c>
      <c r="F184" s="15" t="s">
        <v>164</v>
      </c>
      <c r="G184" s="15" t="s">
        <v>165</v>
      </c>
      <c r="H184" s="15" t="s">
        <v>39</v>
      </c>
      <c r="I184" s="15" t="s">
        <v>85</v>
      </c>
      <c r="J184" s="15" t="s">
        <v>66</v>
      </c>
      <c r="K184" s="15" t="s">
        <v>107</v>
      </c>
      <c r="L184" s="15">
        <v>1</v>
      </c>
      <c r="M184" s="16">
        <v>3.89</v>
      </c>
      <c r="N184" s="16">
        <v>3.89</v>
      </c>
      <c r="O184" s="16">
        <v>0</v>
      </c>
      <c r="P184" s="16">
        <v>3.89</v>
      </c>
      <c r="Q184" s="16">
        <v>1.95</v>
      </c>
      <c r="R184" s="16">
        <v>1.94</v>
      </c>
      <c r="S184" s="15" t="s">
        <v>102</v>
      </c>
      <c r="T184" s="15" t="s">
        <v>44</v>
      </c>
      <c r="U184" s="17">
        <v>3</v>
      </c>
    </row>
    <row r="185" spans="1:21" x14ac:dyDescent="0.8">
      <c r="A185" s="13" t="s">
        <v>313</v>
      </c>
      <c r="B185" s="14">
        <v>45493</v>
      </c>
      <c r="C185" s="15" t="s">
        <v>69</v>
      </c>
      <c r="D185" s="15" t="s">
        <v>65</v>
      </c>
      <c r="E185" s="15" t="s">
        <v>82</v>
      </c>
      <c r="F185" s="15" t="s">
        <v>83</v>
      </c>
      <c r="G185" s="15" t="s">
        <v>84</v>
      </c>
      <c r="H185" s="15" t="s">
        <v>39</v>
      </c>
      <c r="I185" s="15" t="s">
        <v>85</v>
      </c>
      <c r="J185" s="15" t="s">
        <v>61</v>
      </c>
      <c r="K185" s="15" t="s">
        <v>62</v>
      </c>
      <c r="L185" s="15">
        <v>2</v>
      </c>
      <c r="M185" s="16">
        <v>10.78</v>
      </c>
      <c r="N185" s="16">
        <v>21.56</v>
      </c>
      <c r="O185" s="16">
        <v>0</v>
      </c>
      <c r="P185" s="16">
        <v>21.56</v>
      </c>
      <c r="Q185" s="16">
        <v>8.67</v>
      </c>
      <c r="R185" s="16">
        <v>12.89</v>
      </c>
      <c r="S185" s="15" t="s">
        <v>123</v>
      </c>
      <c r="T185" s="15" t="s">
        <v>63</v>
      </c>
      <c r="U185" s="17">
        <v>5</v>
      </c>
    </row>
    <row r="186" spans="1:21" x14ac:dyDescent="0.8">
      <c r="A186" s="13" t="s">
        <v>314</v>
      </c>
      <c r="B186" s="14">
        <v>45494</v>
      </c>
      <c r="C186" s="15" t="s">
        <v>99</v>
      </c>
      <c r="D186" s="15" t="s">
        <v>35</v>
      </c>
      <c r="E186" s="15" t="s">
        <v>104</v>
      </c>
      <c r="F186" s="15" t="s">
        <v>105</v>
      </c>
      <c r="G186" s="15" t="s">
        <v>106</v>
      </c>
      <c r="H186" s="15" t="s">
        <v>39</v>
      </c>
      <c r="I186" s="15" t="s">
        <v>85</v>
      </c>
      <c r="J186" s="15" t="s">
        <v>66</v>
      </c>
      <c r="K186" s="15" t="s">
        <v>67</v>
      </c>
      <c r="L186" s="15">
        <v>1</v>
      </c>
      <c r="M186" s="16">
        <v>0.99</v>
      </c>
      <c r="N186" s="16">
        <v>0.99</v>
      </c>
      <c r="O186" s="16">
        <v>0.1</v>
      </c>
      <c r="P186" s="16">
        <v>0.89</v>
      </c>
      <c r="Q186" s="16">
        <v>0.36</v>
      </c>
      <c r="R186" s="16">
        <v>0.53</v>
      </c>
      <c r="S186" s="15" t="s">
        <v>72</v>
      </c>
      <c r="T186" s="15" t="s">
        <v>73</v>
      </c>
      <c r="U186" s="17">
        <v>3</v>
      </c>
    </row>
    <row r="187" spans="1:21" x14ac:dyDescent="0.8">
      <c r="A187" s="13" t="s">
        <v>315</v>
      </c>
      <c r="B187" s="14">
        <v>45494</v>
      </c>
      <c r="C187" s="15" t="s">
        <v>99</v>
      </c>
      <c r="D187" s="15" t="s">
        <v>65</v>
      </c>
      <c r="E187" s="15" t="s">
        <v>163</v>
      </c>
      <c r="F187" s="15" t="s">
        <v>164</v>
      </c>
      <c r="G187" s="15" t="s">
        <v>165</v>
      </c>
      <c r="H187" s="15" t="s">
        <v>39</v>
      </c>
      <c r="I187" s="15" t="s">
        <v>85</v>
      </c>
      <c r="J187" s="15" t="s">
        <v>41</v>
      </c>
      <c r="K187" s="15" t="s">
        <v>42</v>
      </c>
      <c r="L187" s="15">
        <v>1</v>
      </c>
      <c r="M187" s="16">
        <v>4.6100000000000003</v>
      </c>
      <c r="N187" s="16">
        <v>4.6100000000000003</v>
      </c>
      <c r="O187" s="16">
        <v>0</v>
      </c>
      <c r="P187" s="16">
        <v>4.6100000000000003</v>
      </c>
      <c r="Q187" s="16">
        <v>2.4700000000000002</v>
      </c>
      <c r="R187" s="16">
        <v>2.14</v>
      </c>
      <c r="S187" s="15" t="s">
        <v>54</v>
      </c>
      <c r="T187" s="15" t="s">
        <v>55</v>
      </c>
      <c r="U187" s="17">
        <v>4</v>
      </c>
    </row>
    <row r="188" spans="1:21" x14ac:dyDescent="0.8">
      <c r="A188" s="13" t="s">
        <v>316</v>
      </c>
      <c r="B188" s="14">
        <v>45496</v>
      </c>
      <c r="C188" s="15" t="s">
        <v>81</v>
      </c>
      <c r="D188" s="15" t="s">
        <v>47</v>
      </c>
      <c r="E188" s="15" t="s">
        <v>89</v>
      </c>
      <c r="F188" s="15" t="s">
        <v>90</v>
      </c>
      <c r="G188" s="15" t="s">
        <v>91</v>
      </c>
      <c r="H188" s="15" t="s">
        <v>39</v>
      </c>
      <c r="I188" s="15" t="s">
        <v>92</v>
      </c>
      <c r="J188" s="15" t="s">
        <v>66</v>
      </c>
      <c r="K188" s="15" t="s">
        <v>107</v>
      </c>
      <c r="L188" s="15">
        <v>1</v>
      </c>
      <c r="M188" s="16">
        <v>3.9</v>
      </c>
      <c r="N188" s="16">
        <v>3.9</v>
      </c>
      <c r="O188" s="16">
        <v>0</v>
      </c>
      <c r="P188" s="16">
        <v>3.9</v>
      </c>
      <c r="Q188" s="16">
        <v>2.12</v>
      </c>
      <c r="R188" s="16">
        <v>1.78</v>
      </c>
      <c r="S188" s="15" t="s">
        <v>123</v>
      </c>
      <c r="T188" s="15" t="s">
        <v>144</v>
      </c>
      <c r="U188" s="17">
        <v>4</v>
      </c>
    </row>
    <row r="189" spans="1:21" x14ac:dyDescent="0.8">
      <c r="A189" s="13" t="s">
        <v>317</v>
      </c>
      <c r="B189" s="14">
        <v>45498</v>
      </c>
      <c r="C189" s="15" t="s">
        <v>46</v>
      </c>
      <c r="D189" s="15" t="s">
        <v>47</v>
      </c>
      <c r="E189" s="15" t="s">
        <v>163</v>
      </c>
      <c r="F189" s="15" t="s">
        <v>164</v>
      </c>
      <c r="G189" s="15" t="s">
        <v>165</v>
      </c>
      <c r="H189" s="15" t="s">
        <v>39</v>
      </c>
      <c r="I189" s="15" t="s">
        <v>85</v>
      </c>
      <c r="J189" s="15" t="s">
        <v>100</v>
      </c>
      <c r="K189" s="15" t="s">
        <v>111</v>
      </c>
      <c r="L189" s="15">
        <v>1</v>
      </c>
      <c r="M189" s="16">
        <v>6</v>
      </c>
      <c r="N189" s="16">
        <v>6</v>
      </c>
      <c r="O189" s="16">
        <v>0</v>
      </c>
      <c r="P189" s="16">
        <v>6</v>
      </c>
      <c r="Q189" s="16">
        <v>2.3199999999999998</v>
      </c>
      <c r="R189" s="16">
        <v>3.68</v>
      </c>
      <c r="S189" s="15" t="s">
        <v>72</v>
      </c>
      <c r="T189" s="15" t="s">
        <v>44</v>
      </c>
      <c r="U189" s="17">
        <v>4</v>
      </c>
    </row>
    <row r="190" spans="1:21" x14ac:dyDescent="0.8">
      <c r="A190" s="13" t="s">
        <v>318</v>
      </c>
      <c r="B190" s="14">
        <v>45499</v>
      </c>
      <c r="C190" s="15" t="s">
        <v>57</v>
      </c>
      <c r="D190" s="15" t="s">
        <v>47</v>
      </c>
      <c r="E190" s="15" t="s">
        <v>104</v>
      </c>
      <c r="F190" s="15" t="s">
        <v>105</v>
      </c>
      <c r="G190" s="15" t="s">
        <v>106</v>
      </c>
      <c r="H190" s="15" t="s">
        <v>39</v>
      </c>
      <c r="I190" s="15" t="s">
        <v>85</v>
      </c>
      <c r="J190" s="15" t="s">
        <v>66</v>
      </c>
      <c r="K190" s="15" t="s">
        <v>86</v>
      </c>
      <c r="L190" s="15">
        <v>3</v>
      </c>
      <c r="M190" s="16">
        <v>3.82</v>
      </c>
      <c r="N190" s="16">
        <v>11.46</v>
      </c>
      <c r="O190" s="16">
        <v>1.1499999999999999</v>
      </c>
      <c r="P190" s="16">
        <v>10.31</v>
      </c>
      <c r="Q190" s="16">
        <v>5.51</v>
      </c>
      <c r="R190" s="16">
        <v>4.8</v>
      </c>
      <c r="S190" s="15" t="s">
        <v>102</v>
      </c>
      <c r="T190" s="15" t="s">
        <v>63</v>
      </c>
      <c r="U190" s="17">
        <v>4</v>
      </c>
    </row>
    <row r="191" spans="1:21" x14ac:dyDescent="0.8">
      <c r="A191" s="13" t="s">
        <v>319</v>
      </c>
      <c r="B191" s="14">
        <v>45502</v>
      </c>
      <c r="C191" s="15" t="s">
        <v>75</v>
      </c>
      <c r="D191" s="15" t="s">
        <v>70</v>
      </c>
      <c r="E191" s="15" t="s">
        <v>104</v>
      </c>
      <c r="F191" s="15" t="s">
        <v>105</v>
      </c>
      <c r="G191" s="15" t="s">
        <v>106</v>
      </c>
      <c r="H191" s="15" t="s">
        <v>39</v>
      </c>
      <c r="I191" s="15" t="s">
        <v>85</v>
      </c>
      <c r="J191" s="15" t="s">
        <v>66</v>
      </c>
      <c r="K191" s="15" t="s">
        <v>86</v>
      </c>
      <c r="L191" s="15">
        <v>3</v>
      </c>
      <c r="M191" s="16">
        <v>3.71</v>
      </c>
      <c r="N191" s="16">
        <v>11.13</v>
      </c>
      <c r="O191" s="16">
        <v>0</v>
      </c>
      <c r="P191" s="16">
        <v>11.13</v>
      </c>
      <c r="Q191" s="16">
        <v>4.6100000000000003</v>
      </c>
      <c r="R191" s="16">
        <v>6.52</v>
      </c>
      <c r="S191" s="15" t="s">
        <v>93</v>
      </c>
      <c r="T191" s="15" t="s">
        <v>73</v>
      </c>
      <c r="U191" s="17">
        <v>4</v>
      </c>
    </row>
    <row r="192" spans="1:21" x14ac:dyDescent="0.8">
      <c r="A192" s="13" t="s">
        <v>320</v>
      </c>
      <c r="B192" s="14">
        <v>45502</v>
      </c>
      <c r="C192" s="15" t="s">
        <v>75</v>
      </c>
      <c r="D192" s="15" t="s">
        <v>65</v>
      </c>
      <c r="E192" s="15" t="s">
        <v>89</v>
      </c>
      <c r="F192" s="15" t="s">
        <v>90</v>
      </c>
      <c r="G192" s="15" t="s">
        <v>91</v>
      </c>
      <c r="H192" s="15" t="s">
        <v>39</v>
      </c>
      <c r="I192" s="15" t="s">
        <v>92</v>
      </c>
      <c r="J192" s="15" t="s">
        <v>78</v>
      </c>
      <c r="K192" s="15" t="s">
        <v>143</v>
      </c>
      <c r="L192" s="15">
        <v>1</v>
      </c>
      <c r="M192" s="16">
        <v>2.77</v>
      </c>
      <c r="N192" s="16">
        <v>2.77</v>
      </c>
      <c r="O192" s="16">
        <v>0</v>
      </c>
      <c r="P192" s="16">
        <v>2.77</v>
      </c>
      <c r="Q192" s="16">
        <v>1.33</v>
      </c>
      <c r="R192" s="16">
        <v>1.44</v>
      </c>
      <c r="S192" s="15" t="s">
        <v>43</v>
      </c>
      <c r="T192" s="15" t="s">
        <v>44</v>
      </c>
      <c r="U192" s="17">
        <v>5</v>
      </c>
    </row>
    <row r="193" spans="1:21" x14ac:dyDescent="0.8">
      <c r="A193" s="13" t="s">
        <v>321</v>
      </c>
      <c r="B193" s="14">
        <v>45502</v>
      </c>
      <c r="C193" s="15" t="s">
        <v>75</v>
      </c>
      <c r="D193" s="15" t="s">
        <v>70</v>
      </c>
      <c r="E193" s="15" t="s">
        <v>131</v>
      </c>
      <c r="F193" s="15" t="s">
        <v>132</v>
      </c>
      <c r="G193" s="15" t="s">
        <v>133</v>
      </c>
      <c r="H193" s="15" t="s">
        <v>39</v>
      </c>
      <c r="I193" s="15" t="s">
        <v>134</v>
      </c>
      <c r="J193" s="15" t="s">
        <v>52</v>
      </c>
      <c r="K193" s="15" t="s">
        <v>53</v>
      </c>
      <c r="L193" s="15">
        <v>4</v>
      </c>
      <c r="M193" s="16">
        <v>2.4300000000000002</v>
      </c>
      <c r="N193" s="16">
        <v>9.7200000000000006</v>
      </c>
      <c r="O193" s="16">
        <v>0</v>
      </c>
      <c r="P193" s="16">
        <v>9.7200000000000006</v>
      </c>
      <c r="Q193" s="16">
        <v>4.8600000000000003</v>
      </c>
      <c r="R193" s="16">
        <v>4.8600000000000003</v>
      </c>
      <c r="S193" s="15" t="s">
        <v>43</v>
      </c>
      <c r="T193" s="15" t="s">
        <v>73</v>
      </c>
      <c r="U193" s="17">
        <v>4</v>
      </c>
    </row>
    <row r="194" spans="1:21" x14ac:dyDescent="0.8">
      <c r="A194" s="13" t="s">
        <v>322</v>
      </c>
      <c r="B194" s="14">
        <v>45503</v>
      </c>
      <c r="C194" s="15" t="s">
        <v>81</v>
      </c>
      <c r="D194" s="15" t="s">
        <v>35</v>
      </c>
      <c r="E194" s="15" t="s">
        <v>104</v>
      </c>
      <c r="F194" s="15" t="s">
        <v>105</v>
      </c>
      <c r="G194" s="15" t="s">
        <v>106</v>
      </c>
      <c r="H194" s="15" t="s">
        <v>39</v>
      </c>
      <c r="I194" s="15" t="s">
        <v>85</v>
      </c>
      <c r="J194" s="15" t="s">
        <v>41</v>
      </c>
      <c r="K194" s="15" t="s">
        <v>109</v>
      </c>
      <c r="L194" s="15">
        <v>5</v>
      </c>
      <c r="M194" s="16">
        <v>2.4700000000000002</v>
      </c>
      <c r="N194" s="16">
        <v>12.35</v>
      </c>
      <c r="O194" s="16">
        <v>2.4700000000000002</v>
      </c>
      <c r="P194" s="16">
        <v>9.8800000000000008</v>
      </c>
      <c r="Q194" s="16">
        <v>5.22</v>
      </c>
      <c r="R194" s="16">
        <v>4.66</v>
      </c>
      <c r="S194" s="15" t="s">
        <v>72</v>
      </c>
      <c r="T194" s="15" t="s">
        <v>44</v>
      </c>
      <c r="U194" s="17">
        <v>5</v>
      </c>
    </row>
    <row r="195" spans="1:21" x14ac:dyDescent="0.8">
      <c r="A195" s="13" t="s">
        <v>323</v>
      </c>
      <c r="B195" s="14">
        <v>45503</v>
      </c>
      <c r="C195" s="15" t="s">
        <v>81</v>
      </c>
      <c r="D195" s="15" t="s">
        <v>35</v>
      </c>
      <c r="E195" s="15" t="s">
        <v>104</v>
      </c>
      <c r="F195" s="15" t="s">
        <v>105</v>
      </c>
      <c r="G195" s="15" t="s">
        <v>106</v>
      </c>
      <c r="H195" s="15" t="s">
        <v>39</v>
      </c>
      <c r="I195" s="15" t="s">
        <v>85</v>
      </c>
      <c r="J195" s="15" t="s">
        <v>61</v>
      </c>
      <c r="K195" s="15" t="s">
        <v>121</v>
      </c>
      <c r="L195" s="15">
        <v>3</v>
      </c>
      <c r="M195" s="16">
        <v>9.2100000000000009</v>
      </c>
      <c r="N195" s="16">
        <v>27.63</v>
      </c>
      <c r="O195" s="16">
        <v>1.38</v>
      </c>
      <c r="P195" s="16">
        <v>26.25</v>
      </c>
      <c r="Q195" s="16">
        <v>12.25</v>
      </c>
      <c r="R195" s="16">
        <v>14</v>
      </c>
      <c r="S195" s="15" t="s">
        <v>54</v>
      </c>
      <c r="T195" s="15" t="s">
        <v>63</v>
      </c>
      <c r="U195" s="17">
        <v>3</v>
      </c>
    </row>
    <row r="196" spans="1:21" x14ac:dyDescent="0.8">
      <c r="A196" s="13" t="s">
        <v>324</v>
      </c>
      <c r="B196" s="14">
        <v>45505</v>
      </c>
      <c r="C196" s="15" t="s">
        <v>46</v>
      </c>
      <c r="D196" s="15" t="s">
        <v>47</v>
      </c>
      <c r="E196" s="15" t="s">
        <v>76</v>
      </c>
      <c r="F196" s="15" t="s">
        <v>77</v>
      </c>
      <c r="G196" s="15" t="s">
        <v>38</v>
      </c>
      <c r="H196" s="15" t="s">
        <v>39</v>
      </c>
      <c r="I196" s="15" t="s">
        <v>40</v>
      </c>
      <c r="J196" s="15" t="s">
        <v>52</v>
      </c>
      <c r="K196" s="15" t="s">
        <v>135</v>
      </c>
      <c r="L196" s="15">
        <v>2</v>
      </c>
      <c r="M196" s="16">
        <v>1.97</v>
      </c>
      <c r="N196" s="16">
        <v>3.94</v>
      </c>
      <c r="O196" s="16">
        <v>0.79</v>
      </c>
      <c r="P196" s="16">
        <v>3.15</v>
      </c>
      <c r="Q196" s="16">
        <v>1.45</v>
      </c>
      <c r="R196" s="16">
        <v>1.7</v>
      </c>
      <c r="S196" s="15" t="s">
        <v>43</v>
      </c>
      <c r="T196" s="15" t="s">
        <v>87</v>
      </c>
      <c r="U196" s="17">
        <v>4</v>
      </c>
    </row>
    <row r="197" spans="1:21" x14ac:dyDescent="0.8">
      <c r="A197" s="13" t="s">
        <v>325</v>
      </c>
      <c r="B197" s="14">
        <v>45505</v>
      </c>
      <c r="C197" s="15" t="s">
        <v>46</v>
      </c>
      <c r="D197" s="15" t="s">
        <v>35</v>
      </c>
      <c r="E197" s="15" t="s">
        <v>131</v>
      </c>
      <c r="F197" s="15" t="s">
        <v>132</v>
      </c>
      <c r="G197" s="15" t="s">
        <v>133</v>
      </c>
      <c r="H197" s="15" t="s">
        <v>39</v>
      </c>
      <c r="I197" s="15" t="s">
        <v>134</v>
      </c>
      <c r="J197" s="15" t="s">
        <v>61</v>
      </c>
      <c r="K197" s="15" t="s">
        <v>121</v>
      </c>
      <c r="L197" s="15">
        <v>3</v>
      </c>
      <c r="M197" s="16">
        <v>9.42</v>
      </c>
      <c r="N197" s="16">
        <v>28.26</v>
      </c>
      <c r="O197" s="16">
        <v>4.24</v>
      </c>
      <c r="P197" s="16">
        <v>24.02</v>
      </c>
      <c r="Q197" s="16">
        <v>9.84</v>
      </c>
      <c r="R197" s="16">
        <v>14.18</v>
      </c>
      <c r="S197" s="15" t="s">
        <v>43</v>
      </c>
      <c r="T197" s="15" t="s">
        <v>63</v>
      </c>
      <c r="U197" s="17">
        <v>4</v>
      </c>
    </row>
    <row r="198" spans="1:21" x14ac:dyDescent="0.8">
      <c r="A198" s="13" t="s">
        <v>326</v>
      </c>
      <c r="B198" s="14">
        <v>45506</v>
      </c>
      <c r="C198" s="15" t="s">
        <v>57</v>
      </c>
      <c r="D198" s="15" t="s">
        <v>65</v>
      </c>
      <c r="E198" s="15" t="s">
        <v>76</v>
      </c>
      <c r="F198" s="15" t="s">
        <v>77</v>
      </c>
      <c r="G198" s="15" t="s">
        <v>38</v>
      </c>
      <c r="H198" s="15" t="s">
        <v>39</v>
      </c>
      <c r="I198" s="15" t="s">
        <v>40</v>
      </c>
      <c r="J198" s="15" t="s">
        <v>78</v>
      </c>
      <c r="K198" s="15" t="s">
        <v>141</v>
      </c>
      <c r="L198" s="15">
        <v>4</v>
      </c>
      <c r="M198" s="16">
        <v>6.43</v>
      </c>
      <c r="N198" s="16">
        <v>25.72</v>
      </c>
      <c r="O198" s="16">
        <v>0</v>
      </c>
      <c r="P198" s="16">
        <v>25.72</v>
      </c>
      <c r="Q198" s="16">
        <v>13.27</v>
      </c>
      <c r="R198" s="16">
        <v>12.45</v>
      </c>
      <c r="S198" s="15" t="s">
        <v>43</v>
      </c>
      <c r="T198" s="15" t="s">
        <v>73</v>
      </c>
      <c r="U198" s="17">
        <v>3</v>
      </c>
    </row>
    <row r="199" spans="1:21" x14ac:dyDescent="0.8">
      <c r="A199" s="13" t="s">
        <v>327</v>
      </c>
      <c r="B199" s="14">
        <v>45506</v>
      </c>
      <c r="C199" s="15" t="s">
        <v>57</v>
      </c>
      <c r="D199" s="15" t="s">
        <v>70</v>
      </c>
      <c r="E199" s="15" t="s">
        <v>36</v>
      </c>
      <c r="F199" s="15" t="s">
        <v>37</v>
      </c>
      <c r="G199" s="15" t="s">
        <v>38</v>
      </c>
      <c r="H199" s="15" t="s">
        <v>39</v>
      </c>
      <c r="I199" s="15" t="s">
        <v>40</v>
      </c>
      <c r="J199" s="15" t="s">
        <v>66</v>
      </c>
      <c r="K199" s="15" t="s">
        <v>86</v>
      </c>
      <c r="L199" s="15">
        <v>2</v>
      </c>
      <c r="M199" s="16">
        <v>3.84</v>
      </c>
      <c r="N199" s="16">
        <v>7.68</v>
      </c>
      <c r="O199" s="16">
        <v>0</v>
      </c>
      <c r="P199" s="16">
        <v>7.68</v>
      </c>
      <c r="Q199" s="16">
        <v>2.81</v>
      </c>
      <c r="R199" s="16">
        <v>4.87</v>
      </c>
      <c r="S199" s="15" t="s">
        <v>123</v>
      </c>
      <c r="T199" s="15" t="s">
        <v>144</v>
      </c>
      <c r="U199" s="17">
        <v>5</v>
      </c>
    </row>
    <row r="200" spans="1:21" x14ac:dyDescent="0.8">
      <c r="A200" s="13" t="s">
        <v>328</v>
      </c>
      <c r="B200" s="14">
        <v>45508</v>
      </c>
      <c r="C200" s="15" t="s">
        <v>99</v>
      </c>
      <c r="D200" s="15" t="s">
        <v>47</v>
      </c>
      <c r="E200" s="15" t="s">
        <v>114</v>
      </c>
      <c r="F200" s="15" t="s">
        <v>115</v>
      </c>
      <c r="G200" s="15" t="s">
        <v>116</v>
      </c>
      <c r="H200" s="15" t="s">
        <v>39</v>
      </c>
      <c r="I200" s="15" t="s">
        <v>51</v>
      </c>
      <c r="J200" s="15" t="s">
        <v>66</v>
      </c>
      <c r="K200" s="15" t="s">
        <v>183</v>
      </c>
      <c r="L200" s="15">
        <v>1</v>
      </c>
      <c r="M200" s="16">
        <v>1.49</v>
      </c>
      <c r="N200" s="16">
        <v>1.49</v>
      </c>
      <c r="O200" s="16">
        <v>7.0000000000000007E-2</v>
      </c>
      <c r="P200" s="16">
        <v>1.42</v>
      </c>
      <c r="Q200" s="16">
        <v>0.73</v>
      </c>
      <c r="R200" s="16">
        <v>0.69</v>
      </c>
      <c r="S200" s="15" t="s">
        <v>72</v>
      </c>
      <c r="T200" s="15" t="s">
        <v>87</v>
      </c>
      <c r="U200" s="17">
        <v>1</v>
      </c>
    </row>
    <row r="201" spans="1:21" x14ac:dyDescent="0.8">
      <c r="A201" s="13" t="s">
        <v>329</v>
      </c>
      <c r="B201" s="14">
        <v>45511</v>
      </c>
      <c r="C201" s="15" t="s">
        <v>34</v>
      </c>
      <c r="D201" s="15" t="s">
        <v>65</v>
      </c>
      <c r="E201" s="15" t="s">
        <v>163</v>
      </c>
      <c r="F201" s="15" t="s">
        <v>164</v>
      </c>
      <c r="G201" s="15" t="s">
        <v>165</v>
      </c>
      <c r="H201" s="15" t="s">
        <v>39</v>
      </c>
      <c r="I201" s="15" t="s">
        <v>85</v>
      </c>
      <c r="J201" s="15" t="s">
        <v>41</v>
      </c>
      <c r="K201" s="15" t="s">
        <v>109</v>
      </c>
      <c r="L201" s="15">
        <v>1</v>
      </c>
      <c r="M201" s="16">
        <v>2.4300000000000002</v>
      </c>
      <c r="N201" s="16">
        <v>2.4300000000000002</v>
      </c>
      <c r="O201" s="16">
        <v>0.12</v>
      </c>
      <c r="P201" s="16">
        <v>2.31</v>
      </c>
      <c r="Q201" s="16">
        <v>1.0900000000000001</v>
      </c>
      <c r="R201" s="16">
        <v>1.22</v>
      </c>
      <c r="S201" s="15" t="s">
        <v>43</v>
      </c>
      <c r="T201" s="15" t="s">
        <v>55</v>
      </c>
      <c r="U201" s="17">
        <v>1</v>
      </c>
    </row>
    <row r="202" spans="1:21" x14ac:dyDescent="0.8">
      <c r="A202" s="13" t="s">
        <v>330</v>
      </c>
      <c r="B202" s="14">
        <v>45511</v>
      </c>
      <c r="C202" s="15" t="s">
        <v>34</v>
      </c>
      <c r="D202" s="15" t="s">
        <v>35</v>
      </c>
      <c r="E202" s="15" t="s">
        <v>36</v>
      </c>
      <c r="F202" s="15" t="s">
        <v>37</v>
      </c>
      <c r="G202" s="15" t="s">
        <v>38</v>
      </c>
      <c r="H202" s="15" t="s">
        <v>39</v>
      </c>
      <c r="I202" s="15" t="s">
        <v>40</v>
      </c>
      <c r="J202" s="15" t="s">
        <v>52</v>
      </c>
      <c r="K202" s="15" t="s">
        <v>180</v>
      </c>
      <c r="L202" s="15">
        <v>4</v>
      </c>
      <c r="M202" s="16">
        <v>3.74</v>
      </c>
      <c r="N202" s="16">
        <v>14.96</v>
      </c>
      <c r="O202" s="16">
        <v>2.2400000000000002</v>
      </c>
      <c r="P202" s="16">
        <v>12.72</v>
      </c>
      <c r="Q202" s="16">
        <v>6.68</v>
      </c>
      <c r="R202" s="16">
        <v>6.04</v>
      </c>
      <c r="S202" s="15" t="s">
        <v>102</v>
      </c>
      <c r="T202" s="15" t="s">
        <v>73</v>
      </c>
      <c r="U202" s="17">
        <v>4</v>
      </c>
    </row>
    <row r="203" spans="1:21" x14ac:dyDescent="0.8">
      <c r="A203" s="13" t="s">
        <v>331</v>
      </c>
      <c r="B203" s="14">
        <v>45512</v>
      </c>
      <c r="C203" s="15" t="s">
        <v>46</v>
      </c>
      <c r="D203" s="15" t="s">
        <v>65</v>
      </c>
      <c r="E203" s="15" t="s">
        <v>76</v>
      </c>
      <c r="F203" s="15" t="s">
        <v>77</v>
      </c>
      <c r="G203" s="15" t="s">
        <v>38</v>
      </c>
      <c r="H203" s="15" t="s">
        <v>39</v>
      </c>
      <c r="I203" s="15" t="s">
        <v>40</v>
      </c>
      <c r="J203" s="15" t="s">
        <v>100</v>
      </c>
      <c r="K203" s="15" t="s">
        <v>101</v>
      </c>
      <c r="L203" s="15">
        <v>1</v>
      </c>
      <c r="M203" s="16">
        <v>3.58</v>
      </c>
      <c r="N203" s="16">
        <v>3.58</v>
      </c>
      <c r="O203" s="16">
        <v>0.72</v>
      </c>
      <c r="P203" s="16">
        <v>2.86</v>
      </c>
      <c r="Q203" s="16">
        <v>1.02</v>
      </c>
      <c r="R203" s="16">
        <v>1.84</v>
      </c>
      <c r="S203" s="15" t="s">
        <v>123</v>
      </c>
      <c r="T203" s="15" t="s">
        <v>44</v>
      </c>
      <c r="U203" s="17">
        <v>4</v>
      </c>
    </row>
    <row r="204" spans="1:21" x14ac:dyDescent="0.8">
      <c r="A204" s="13" t="s">
        <v>332</v>
      </c>
      <c r="B204" s="14">
        <v>45512</v>
      </c>
      <c r="C204" s="15" t="s">
        <v>46</v>
      </c>
      <c r="D204" s="15" t="s">
        <v>35</v>
      </c>
      <c r="E204" s="15" t="s">
        <v>131</v>
      </c>
      <c r="F204" s="15" t="s">
        <v>132</v>
      </c>
      <c r="G204" s="15" t="s">
        <v>133</v>
      </c>
      <c r="H204" s="15" t="s">
        <v>39</v>
      </c>
      <c r="I204" s="15" t="s">
        <v>134</v>
      </c>
      <c r="J204" s="15" t="s">
        <v>41</v>
      </c>
      <c r="K204" s="15" t="s">
        <v>42</v>
      </c>
      <c r="L204" s="15">
        <v>1</v>
      </c>
      <c r="M204" s="16">
        <v>4.6100000000000003</v>
      </c>
      <c r="N204" s="16">
        <v>4.6100000000000003</v>
      </c>
      <c r="O204" s="16">
        <v>0</v>
      </c>
      <c r="P204" s="16">
        <v>4.6100000000000003</v>
      </c>
      <c r="Q204" s="16">
        <v>1.9</v>
      </c>
      <c r="R204" s="16">
        <v>2.71</v>
      </c>
      <c r="S204" s="15" t="s">
        <v>72</v>
      </c>
      <c r="T204" s="15" t="s">
        <v>55</v>
      </c>
      <c r="U204" s="17">
        <v>5</v>
      </c>
    </row>
    <row r="205" spans="1:21" x14ac:dyDescent="0.8">
      <c r="A205" s="13" t="s">
        <v>333</v>
      </c>
      <c r="B205" s="14">
        <v>45514</v>
      </c>
      <c r="C205" s="15" t="s">
        <v>69</v>
      </c>
      <c r="D205" s="15" t="s">
        <v>35</v>
      </c>
      <c r="E205" s="15" t="s">
        <v>76</v>
      </c>
      <c r="F205" s="15" t="s">
        <v>77</v>
      </c>
      <c r="G205" s="15" t="s">
        <v>38</v>
      </c>
      <c r="H205" s="15" t="s">
        <v>39</v>
      </c>
      <c r="I205" s="15" t="s">
        <v>40</v>
      </c>
      <c r="J205" s="15" t="s">
        <v>66</v>
      </c>
      <c r="K205" s="15" t="s">
        <v>183</v>
      </c>
      <c r="L205" s="15">
        <v>1</v>
      </c>
      <c r="M205" s="16">
        <v>1.46</v>
      </c>
      <c r="N205" s="16">
        <v>1.46</v>
      </c>
      <c r="O205" s="16">
        <v>0.22</v>
      </c>
      <c r="P205" s="16">
        <v>1.24</v>
      </c>
      <c r="Q205" s="16">
        <v>0.66</v>
      </c>
      <c r="R205" s="16">
        <v>0.57999999999999996</v>
      </c>
      <c r="S205" s="15" t="s">
        <v>72</v>
      </c>
      <c r="T205" s="15" t="s">
        <v>144</v>
      </c>
      <c r="U205" s="17">
        <v>3</v>
      </c>
    </row>
    <row r="206" spans="1:21" x14ac:dyDescent="0.8">
      <c r="A206" s="13" t="s">
        <v>334</v>
      </c>
      <c r="B206" s="14">
        <v>45516</v>
      </c>
      <c r="C206" s="15" t="s">
        <v>75</v>
      </c>
      <c r="D206" s="15" t="s">
        <v>70</v>
      </c>
      <c r="E206" s="15" t="s">
        <v>131</v>
      </c>
      <c r="F206" s="15" t="s">
        <v>132</v>
      </c>
      <c r="G206" s="15" t="s">
        <v>133</v>
      </c>
      <c r="H206" s="15" t="s">
        <v>39</v>
      </c>
      <c r="I206" s="15" t="s">
        <v>134</v>
      </c>
      <c r="J206" s="15" t="s">
        <v>66</v>
      </c>
      <c r="K206" s="15" t="s">
        <v>107</v>
      </c>
      <c r="L206" s="15">
        <v>1</v>
      </c>
      <c r="M206" s="16">
        <v>3.75</v>
      </c>
      <c r="N206" s="16">
        <v>3.75</v>
      </c>
      <c r="O206" s="16">
        <v>0</v>
      </c>
      <c r="P206" s="16">
        <v>3.75</v>
      </c>
      <c r="Q206" s="16">
        <v>1.61</v>
      </c>
      <c r="R206" s="16">
        <v>2.14</v>
      </c>
      <c r="S206" s="15" t="s">
        <v>72</v>
      </c>
      <c r="T206" s="15" t="s">
        <v>55</v>
      </c>
      <c r="U206" s="17">
        <v>5</v>
      </c>
    </row>
    <row r="207" spans="1:21" x14ac:dyDescent="0.8">
      <c r="A207" s="13" t="s">
        <v>335</v>
      </c>
      <c r="B207" s="14">
        <v>45517</v>
      </c>
      <c r="C207" s="15" t="s">
        <v>81</v>
      </c>
      <c r="D207" s="15" t="s">
        <v>65</v>
      </c>
      <c r="E207" s="15" t="s">
        <v>163</v>
      </c>
      <c r="F207" s="15" t="s">
        <v>164</v>
      </c>
      <c r="G207" s="15" t="s">
        <v>165</v>
      </c>
      <c r="H207" s="15" t="s">
        <v>39</v>
      </c>
      <c r="I207" s="15" t="s">
        <v>85</v>
      </c>
      <c r="J207" s="15" t="s">
        <v>78</v>
      </c>
      <c r="K207" s="15" t="s">
        <v>79</v>
      </c>
      <c r="L207" s="15">
        <v>2</v>
      </c>
      <c r="M207" s="16">
        <v>3.43</v>
      </c>
      <c r="N207" s="16">
        <v>6.86</v>
      </c>
      <c r="O207" s="16">
        <v>0.34</v>
      </c>
      <c r="P207" s="16">
        <v>6.52</v>
      </c>
      <c r="Q207" s="16">
        <v>3.08</v>
      </c>
      <c r="R207" s="16">
        <v>3.44</v>
      </c>
      <c r="S207" s="15" t="s">
        <v>72</v>
      </c>
      <c r="T207" s="15" t="s">
        <v>73</v>
      </c>
      <c r="U207" s="17">
        <v>2</v>
      </c>
    </row>
    <row r="208" spans="1:21" x14ac:dyDescent="0.8">
      <c r="A208" s="13" t="s">
        <v>336</v>
      </c>
      <c r="B208" s="14">
        <v>45518</v>
      </c>
      <c r="C208" s="15" t="s">
        <v>34</v>
      </c>
      <c r="D208" s="15" t="s">
        <v>35</v>
      </c>
      <c r="E208" s="15" t="s">
        <v>48</v>
      </c>
      <c r="F208" s="15" t="s">
        <v>49</v>
      </c>
      <c r="G208" s="15" t="s">
        <v>50</v>
      </c>
      <c r="H208" s="15" t="s">
        <v>39</v>
      </c>
      <c r="I208" s="15" t="s">
        <v>51</v>
      </c>
      <c r="J208" s="15" t="s">
        <v>52</v>
      </c>
      <c r="K208" s="15" t="s">
        <v>180</v>
      </c>
      <c r="L208" s="15">
        <v>2</v>
      </c>
      <c r="M208" s="16">
        <v>3.86</v>
      </c>
      <c r="N208" s="16">
        <v>7.72</v>
      </c>
      <c r="O208" s="16">
        <v>1.54</v>
      </c>
      <c r="P208" s="16">
        <v>6.18</v>
      </c>
      <c r="Q208" s="16">
        <v>3.07</v>
      </c>
      <c r="R208" s="16">
        <v>3.11</v>
      </c>
      <c r="S208" s="15" t="s">
        <v>54</v>
      </c>
      <c r="T208" s="15" t="s">
        <v>144</v>
      </c>
      <c r="U208" s="17">
        <v>4</v>
      </c>
    </row>
    <row r="209" spans="1:21" x14ac:dyDescent="0.8">
      <c r="A209" s="13" t="s">
        <v>337</v>
      </c>
      <c r="B209" s="14">
        <v>45518</v>
      </c>
      <c r="C209" s="15" t="s">
        <v>34</v>
      </c>
      <c r="D209" s="15" t="s">
        <v>70</v>
      </c>
      <c r="E209" s="15" t="s">
        <v>114</v>
      </c>
      <c r="F209" s="15" t="s">
        <v>115</v>
      </c>
      <c r="G209" s="15" t="s">
        <v>116</v>
      </c>
      <c r="H209" s="15" t="s">
        <v>39</v>
      </c>
      <c r="I209" s="15" t="s">
        <v>51</v>
      </c>
      <c r="J209" s="15" t="s">
        <v>66</v>
      </c>
      <c r="K209" s="15" t="s">
        <v>86</v>
      </c>
      <c r="L209" s="15">
        <v>3</v>
      </c>
      <c r="M209" s="16">
        <v>3.7</v>
      </c>
      <c r="N209" s="16">
        <v>11.1</v>
      </c>
      <c r="O209" s="16">
        <v>0</v>
      </c>
      <c r="P209" s="16">
        <v>11.1</v>
      </c>
      <c r="Q209" s="16">
        <v>4.51</v>
      </c>
      <c r="R209" s="16">
        <v>6.59</v>
      </c>
      <c r="S209" s="15" t="s">
        <v>54</v>
      </c>
      <c r="T209" s="15" t="s">
        <v>87</v>
      </c>
      <c r="U209" s="17">
        <v>4</v>
      </c>
    </row>
    <row r="210" spans="1:21" x14ac:dyDescent="0.8">
      <c r="A210" s="13" t="s">
        <v>338</v>
      </c>
      <c r="B210" s="14">
        <v>45519</v>
      </c>
      <c r="C210" s="15" t="s">
        <v>46</v>
      </c>
      <c r="D210" s="15" t="s">
        <v>35</v>
      </c>
      <c r="E210" s="15" t="s">
        <v>82</v>
      </c>
      <c r="F210" s="15" t="s">
        <v>83</v>
      </c>
      <c r="G210" s="15" t="s">
        <v>84</v>
      </c>
      <c r="H210" s="15" t="s">
        <v>39</v>
      </c>
      <c r="I210" s="15" t="s">
        <v>85</v>
      </c>
      <c r="J210" s="15" t="s">
        <v>100</v>
      </c>
      <c r="K210" s="15" t="s">
        <v>101</v>
      </c>
      <c r="L210" s="15">
        <v>2</v>
      </c>
      <c r="M210" s="16">
        <v>3.4</v>
      </c>
      <c r="N210" s="16">
        <v>6.8</v>
      </c>
      <c r="O210" s="16">
        <v>0</v>
      </c>
      <c r="P210" s="16">
        <v>6.8</v>
      </c>
      <c r="Q210" s="16">
        <v>3.24</v>
      </c>
      <c r="R210" s="16">
        <v>3.56</v>
      </c>
      <c r="S210" s="15" t="s">
        <v>43</v>
      </c>
      <c r="T210" s="15" t="s">
        <v>73</v>
      </c>
      <c r="U210" s="17">
        <v>4</v>
      </c>
    </row>
    <row r="211" spans="1:21" x14ac:dyDescent="0.8">
      <c r="A211" s="13" t="s">
        <v>339</v>
      </c>
      <c r="B211" s="14">
        <v>45520</v>
      </c>
      <c r="C211" s="15" t="s">
        <v>57</v>
      </c>
      <c r="D211" s="15" t="s">
        <v>35</v>
      </c>
      <c r="E211" s="15" t="s">
        <v>76</v>
      </c>
      <c r="F211" s="15" t="s">
        <v>77</v>
      </c>
      <c r="G211" s="15" t="s">
        <v>38</v>
      </c>
      <c r="H211" s="15" t="s">
        <v>39</v>
      </c>
      <c r="I211" s="15" t="s">
        <v>40</v>
      </c>
      <c r="J211" s="15" t="s">
        <v>78</v>
      </c>
      <c r="K211" s="15" t="s">
        <v>97</v>
      </c>
      <c r="L211" s="15">
        <v>2</v>
      </c>
      <c r="M211" s="16">
        <v>3.26</v>
      </c>
      <c r="N211" s="16">
        <v>6.52</v>
      </c>
      <c r="O211" s="16">
        <v>0.65</v>
      </c>
      <c r="P211" s="16">
        <v>5.87</v>
      </c>
      <c r="Q211" s="16">
        <v>2.36</v>
      </c>
      <c r="R211" s="16">
        <v>3.51</v>
      </c>
      <c r="S211" s="15" t="s">
        <v>54</v>
      </c>
      <c r="T211" s="15" t="s">
        <v>144</v>
      </c>
      <c r="U211" s="17">
        <v>1</v>
      </c>
    </row>
    <row r="212" spans="1:21" x14ac:dyDescent="0.8">
      <c r="A212" s="13" t="s">
        <v>340</v>
      </c>
      <c r="B212" s="14">
        <v>45520</v>
      </c>
      <c r="C212" s="15" t="s">
        <v>57</v>
      </c>
      <c r="D212" s="15" t="s">
        <v>70</v>
      </c>
      <c r="E212" s="15" t="s">
        <v>131</v>
      </c>
      <c r="F212" s="15" t="s">
        <v>132</v>
      </c>
      <c r="G212" s="15" t="s">
        <v>133</v>
      </c>
      <c r="H212" s="15" t="s">
        <v>39</v>
      </c>
      <c r="I212" s="15" t="s">
        <v>134</v>
      </c>
      <c r="J212" s="15" t="s">
        <v>52</v>
      </c>
      <c r="K212" s="15" t="s">
        <v>53</v>
      </c>
      <c r="L212" s="15">
        <v>1</v>
      </c>
      <c r="M212" s="16">
        <v>2.48</v>
      </c>
      <c r="N212" s="16">
        <v>2.48</v>
      </c>
      <c r="O212" s="16">
        <v>0</v>
      </c>
      <c r="P212" s="16">
        <v>2.48</v>
      </c>
      <c r="Q212" s="16">
        <v>1.23</v>
      </c>
      <c r="R212" s="16">
        <v>1.25</v>
      </c>
      <c r="S212" s="15" t="s">
        <v>123</v>
      </c>
      <c r="T212" s="15" t="s">
        <v>87</v>
      </c>
      <c r="U212" s="17">
        <v>4</v>
      </c>
    </row>
    <row r="213" spans="1:21" x14ac:dyDescent="0.8">
      <c r="A213" s="13" t="s">
        <v>341</v>
      </c>
      <c r="B213" s="14">
        <v>45521</v>
      </c>
      <c r="C213" s="15" t="s">
        <v>69</v>
      </c>
      <c r="D213" s="15" t="s">
        <v>47</v>
      </c>
      <c r="E213" s="15" t="s">
        <v>89</v>
      </c>
      <c r="F213" s="15" t="s">
        <v>90</v>
      </c>
      <c r="G213" s="15" t="s">
        <v>91</v>
      </c>
      <c r="H213" s="15" t="s">
        <v>39</v>
      </c>
      <c r="I213" s="15" t="s">
        <v>92</v>
      </c>
      <c r="J213" s="15" t="s">
        <v>61</v>
      </c>
      <c r="K213" s="15" t="s">
        <v>119</v>
      </c>
      <c r="L213" s="15">
        <v>1</v>
      </c>
      <c r="M213" s="16">
        <v>6.82</v>
      </c>
      <c r="N213" s="16">
        <v>6.82</v>
      </c>
      <c r="O213" s="16">
        <v>0.34</v>
      </c>
      <c r="P213" s="16">
        <v>6.48</v>
      </c>
      <c r="Q213" s="16">
        <v>3.04</v>
      </c>
      <c r="R213" s="16">
        <v>3.44</v>
      </c>
      <c r="S213" s="15" t="s">
        <v>123</v>
      </c>
      <c r="T213" s="15" t="s">
        <v>63</v>
      </c>
      <c r="U213" s="17">
        <v>4</v>
      </c>
    </row>
    <row r="214" spans="1:21" x14ac:dyDescent="0.8">
      <c r="A214" s="13" t="s">
        <v>342</v>
      </c>
      <c r="B214" s="14">
        <v>45522</v>
      </c>
      <c r="C214" s="15" t="s">
        <v>99</v>
      </c>
      <c r="D214" s="15" t="s">
        <v>70</v>
      </c>
      <c r="E214" s="15" t="s">
        <v>82</v>
      </c>
      <c r="F214" s="15" t="s">
        <v>83</v>
      </c>
      <c r="G214" s="15" t="s">
        <v>84</v>
      </c>
      <c r="H214" s="15" t="s">
        <v>39</v>
      </c>
      <c r="I214" s="15" t="s">
        <v>85</v>
      </c>
      <c r="J214" s="15" t="s">
        <v>66</v>
      </c>
      <c r="K214" s="15" t="s">
        <v>107</v>
      </c>
      <c r="L214" s="15">
        <v>2</v>
      </c>
      <c r="M214" s="16">
        <v>3.72</v>
      </c>
      <c r="N214" s="16">
        <v>7.44</v>
      </c>
      <c r="O214" s="16">
        <v>0</v>
      </c>
      <c r="P214" s="16">
        <v>7.44</v>
      </c>
      <c r="Q214" s="16">
        <v>3.26</v>
      </c>
      <c r="R214" s="16">
        <v>4.18</v>
      </c>
      <c r="S214" s="15" t="s">
        <v>72</v>
      </c>
      <c r="T214" s="15" t="s">
        <v>87</v>
      </c>
      <c r="U214" s="17">
        <v>4</v>
      </c>
    </row>
    <row r="215" spans="1:21" x14ac:dyDescent="0.8">
      <c r="A215" s="13" t="s">
        <v>343</v>
      </c>
      <c r="B215" s="14">
        <v>45523</v>
      </c>
      <c r="C215" s="15" t="s">
        <v>75</v>
      </c>
      <c r="D215" s="15" t="s">
        <v>65</v>
      </c>
      <c r="E215" s="15" t="s">
        <v>82</v>
      </c>
      <c r="F215" s="15" t="s">
        <v>83</v>
      </c>
      <c r="G215" s="15" t="s">
        <v>84</v>
      </c>
      <c r="H215" s="15" t="s">
        <v>39</v>
      </c>
      <c r="I215" s="15" t="s">
        <v>85</v>
      </c>
      <c r="J215" s="15" t="s">
        <v>100</v>
      </c>
      <c r="K215" s="15" t="s">
        <v>101</v>
      </c>
      <c r="L215" s="15">
        <v>1</v>
      </c>
      <c r="M215" s="16">
        <v>3.44</v>
      </c>
      <c r="N215" s="16">
        <v>3.44</v>
      </c>
      <c r="O215" s="16">
        <v>0</v>
      </c>
      <c r="P215" s="16">
        <v>3.44</v>
      </c>
      <c r="Q215" s="16">
        <v>1.44</v>
      </c>
      <c r="R215" s="16">
        <v>2</v>
      </c>
      <c r="S215" s="15" t="s">
        <v>72</v>
      </c>
      <c r="T215" s="15" t="s">
        <v>44</v>
      </c>
      <c r="U215" s="17">
        <v>2</v>
      </c>
    </row>
    <row r="216" spans="1:21" x14ac:dyDescent="0.8">
      <c r="A216" s="13" t="s">
        <v>344</v>
      </c>
      <c r="B216" s="14">
        <v>45524</v>
      </c>
      <c r="C216" s="15" t="s">
        <v>81</v>
      </c>
      <c r="D216" s="15" t="s">
        <v>65</v>
      </c>
      <c r="E216" s="15" t="s">
        <v>82</v>
      </c>
      <c r="F216" s="15" t="s">
        <v>83</v>
      </c>
      <c r="G216" s="15" t="s">
        <v>84</v>
      </c>
      <c r="H216" s="15" t="s">
        <v>39</v>
      </c>
      <c r="I216" s="15" t="s">
        <v>85</v>
      </c>
      <c r="J216" s="15" t="s">
        <v>52</v>
      </c>
      <c r="K216" s="15" t="s">
        <v>135</v>
      </c>
      <c r="L216" s="15">
        <v>1</v>
      </c>
      <c r="M216" s="16">
        <v>1.98</v>
      </c>
      <c r="N216" s="16">
        <v>1.98</v>
      </c>
      <c r="O216" s="16">
        <v>0</v>
      </c>
      <c r="P216" s="16">
        <v>1.98</v>
      </c>
      <c r="Q216" s="16">
        <v>0.83</v>
      </c>
      <c r="R216" s="16">
        <v>1.1499999999999999</v>
      </c>
      <c r="S216" s="15" t="s">
        <v>93</v>
      </c>
      <c r="T216" s="15" t="s">
        <v>55</v>
      </c>
      <c r="U216" s="17">
        <v>4</v>
      </c>
    </row>
    <row r="217" spans="1:21" x14ac:dyDescent="0.8">
      <c r="A217" s="13" t="s">
        <v>345</v>
      </c>
      <c r="B217" s="14">
        <v>45525</v>
      </c>
      <c r="C217" s="15" t="s">
        <v>34</v>
      </c>
      <c r="D217" s="15" t="s">
        <v>70</v>
      </c>
      <c r="E217" s="15" t="s">
        <v>104</v>
      </c>
      <c r="F217" s="15" t="s">
        <v>105</v>
      </c>
      <c r="G217" s="15" t="s">
        <v>106</v>
      </c>
      <c r="H217" s="15" t="s">
        <v>39</v>
      </c>
      <c r="I217" s="15" t="s">
        <v>85</v>
      </c>
      <c r="J217" s="15" t="s">
        <v>66</v>
      </c>
      <c r="K217" s="15" t="s">
        <v>86</v>
      </c>
      <c r="L217" s="15">
        <v>1</v>
      </c>
      <c r="M217" s="16">
        <v>3.85</v>
      </c>
      <c r="N217" s="16">
        <v>3.85</v>
      </c>
      <c r="O217" s="16">
        <v>0.39</v>
      </c>
      <c r="P217" s="16">
        <v>3.46</v>
      </c>
      <c r="Q217" s="16">
        <v>1.38</v>
      </c>
      <c r="R217" s="16">
        <v>2.08</v>
      </c>
      <c r="S217" s="15" t="s">
        <v>123</v>
      </c>
      <c r="T217" s="15" t="s">
        <v>87</v>
      </c>
      <c r="U217" s="17">
        <v>5</v>
      </c>
    </row>
    <row r="218" spans="1:21" x14ac:dyDescent="0.8">
      <c r="A218" s="13" t="s">
        <v>346</v>
      </c>
      <c r="B218" s="14">
        <v>45526</v>
      </c>
      <c r="C218" s="15" t="s">
        <v>46</v>
      </c>
      <c r="D218" s="15" t="s">
        <v>47</v>
      </c>
      <c r="E218" s="15" t="s">
        <v>131</v>
      </c>
      <c r="F218" s="15" t="s">
        <v>132</v>
      </c>
      <c r="G218" s="15" t="s">
        <v>133</v>
      </c>
      <c r="H218" s="15" t="s">
        <v>39</v>
      </c>
      <c r="I218" s="15" t="s">
        <v>134</v>
      </c>
      <c r="J218" s="15" t="s">
        <v>41</v>
      </c>
      <c r="K218" s="15" t="s">
        <v>154</v>
      </c>
      <c r="L218" s="15">
        <v>3</v>
      </c>
      <c r="M218" s="16">
        <v>1.47</v>
      </c>
      <c r="N218" s="16">
        <v>4.41</v>
      </c>
      <c r="O218" s="16">
        <v>0.22</v>
      </c>
      <c r="P218" s="16">
        <v>4.1900000000000004</v>
      </c>
      <c r="Q218" s="16">
        <v>1.54</v>
      </c>
      <c r="R218" s="16">
        <v>2.65</v>
      </c>
      <c r="S218" s="15" t="s">
        <v>93</v>
      </c>
      <c r="T218" s="15" t="s">
        <v>55</v>
      </c>
      <c r="U218" s="17">
        <v>4</v>
      </c>
    </row>
    <row r="219" spans="1:21" x14ac:dyDescent="0.8">
      <c r="A219" s="13" t="s">
        <v>347</v>
      </c>
      <c r="B219" s="14">
        <v>45526</v>
      </c>
      <c r="C219" s="15" t="s">
        <v>46</v>
      </c>
      <c r="D219" s="15" t="s">
        <v>35</v>
      </c>
      <c r="E219" s="15" t="s">
        <v>82</v>
      </c>
      <c r="F219" s="15" t="s">
        <v>83</v>
      </c>
      <c r="G219" s="15" t="s">
        <v>84</v>
      </c>
      <c r="H219" s="15" t="s">
        <v>39</v>
      </c>
      <c r="I219" s="15" t="s">
        <v>85</v>
      </c>
      <c r="J219" s="15" t="s">
        <v>66</v>
      </c>
      <c r="K219" s="15" t="s">
        <v>183</v>
      </c>
      <c r="L219" s="15">
        <v>2</v>
      </c>
      <c r="M219" s="16">
        <v>1.5</v>
      </c>
      <c r="N219" s="16">
        <v>3</v>
      </c>
      <c r="O219" s="16">
        <v>0.15</v>
      </c>
      <c r="P219" s="16">
        <v>2.85</v>
      </c>
      <c r="Q219" s="16">
        <v>1.35</v>
      </c>
      <c r="R219" s="16">
        <v>1.5</v>
      </c>
      <c r="S219" s="15" t="s">
        <v>43</v>
      </c>
      <c r="T219" s="15" t="s">
        <v>144</v>
      </c>
      <c r="U219" s="17">
        <v>4</v>
      </c>
    </row>
    <row r="220" spans="1:21" x14ac:dyDescent="0.8">
      <c r="A220" s="13" t="s">
        <v>348</v>
      </c>
      <c r="B220" s="14">
        <v>45527</v>
      </c>
      <c r="C220" s="15" t="s">
        <v>57</v>
      </c>
      <c r="D220" s="15" t="s">
        <v>70</v>
      </c>
      <c r="E220" s="15" t="s">
        <v>76</v>
      </c>
      <c r="F220" s="15" t="s">
        <v>77</v>
      </c>
      <c r="G220" s="15" t="s">
        <v>38</v>
      </c>
      <c r="H220" s="15" t="s">
        <v>39</v>
      </c>
      <c r="I220" s="15" t="s">
        <v>40</v>
      </c>
      <c r="J220" s="15" t="s">
        <v>78</v>
      </c>
      <c r="K220" s="15" t="s">
        <v>79</v>
      </c>
      <c r="L220" s="15">
        <v>3</v>
      </c>
      <c r="M220" s="16">
        <v>3.59</v>
      </c>
      <c r="N220" s="16">
        <v>10.77</v>
      </c>
      <c r="O220" s="16">
        <v>0</v>
      </c>
      <c r="P220" s="16">
        <v>10.77</v>
      </c>
      <c r="Q220" s="16">
        <v>5.51</v>
      </c>
      <c r="R220" s="16">
        <v>5.26</v>
      </c>
      <c r="S220" s="15" t="s">
        <v>43</v>
      </c>
      <c r="T220" s="15" t="s">
        <v>63</v>
      </c>
      <c r="U220" s="17">
        <v>4</v>
      </c>
    </row>
    <row r="221" spans="1:21" x14ac:dyDescent="0.8">
      <c r="A221" s="13" t="s">
        <v>349</v>
      </c>
      <c r="B221" s="14">
        <v>45527</v>
      </c>
      <c r="C221" s="15" t="s">
        <v>57</v>
      </c>
      <c r="D221" s="15" t="s">
        <v>35</v>
      </c>
      <c r="E221" s="15" t="s">
        <v>163</v>
      </c>
      <c r="F221" s="15" t="s">
        <v>164</v>
      </c>
      <c r="G221" s="15" t="s">
        <v>165</v>
      </c>
      <c r="H221" s="15" t="s">
        <v>39</v>
      </c>
      <c r="I221" s="15" t="s">
        <v>85</v>
      </c>
      <c r="J221" s="15" t="s">
        <v>66</v>
      </c>
      <c r="K221" s="15" t="s">
        <v>86</v>
      </c>
      <c r="L221" s="15">
        <v>1</v>
      </c>
      <c r="M221" s="16">
        <v>3.83</v>
      </c>
      <c r="N221" s="16">
        <v>3.83</v>
      </c>
      <c r="O221" s="16">
        <v>0</v>
      </c>
      <c r="P221" s="16">
        <v>3.83</v>
      </c>
      <c r="Q221" s="16">
        <v>1.55</v>
      </c>
      <c r="R221" s="16">
        <v>2.2799999999999998</v>
      </c>
      <c r="S221" s="15" t="s">
        <v>102</v>
      </c>
      <c r="T221" s="15" t="s">
        <v>55</v>
      </c>
      <c r="U221" s="17">
        <v>5</v>
      </c>
    </row>
    <row r="222" spans="1:21" x14ac:dyDescent="0.8">
      <c r="A222" s="13" t="s">
        <v>350</v>
      </c>
      <c r="B222" s="14">
        <v>45528</v>
      </c>
      <c r="C222" s="15" t="s">
        <v>69</v>
      </c>
      <c r="D222" s="15" t="s">
        <v>47</v>
      </c>
      <c r="E222" s="15" t="s">
        <v>131</v>
      </c>
      <c r="F222" s="15" t="s">
        <v>132</v>
      </c>
      <c r="G222" s="15" t="s">
        <v>133</v>
      </c>
      <c r="H222" s="15" t="s">
        <v>39</v>
      </c>
      <c r="I222" s="15" t="s">
        <v>134</v>
      </c>
      <c r="J222" s="15" t="s">
        <v>61</v>
      </c>
      <c r="K222" s="15" t="s">
        <v>62</v>
      </c>
      <c r="L222" s="15">
        <v>2</v>
      </c>
      <c r="M222" s="16">
        <v>10.68</v>
      </c>
      <c r="N222" s="16">
        <v>21.36</v>
      </c>
      <c r="O222" s="16">
        <v>1.07</v>
      </c>
      <c r="P222" s="16">
        <v>20.29</v>
      </c>
      <c r="Q222" s="16">
        <v>8.41</v>
      </c>
      <c r="R222" s="16">
        <v>11.88</v>
      </c>
      <c r="S222" s="15" t="s">
        <v>72</v>
      </c>
      <c r="T222" s="15" t="s">
        <v>87</v>
      </c>
      <c r="U222" s="17">
        <v>5</v>
      </c>
    </row>
    <row r="223" spans="1:21" x14ac:dyDescent="0.8">
      <c r="A223" s="13" t="s">
        <v>351</v>
      </c>
      <c r="B223" s="14">
        <v>45529</v>
      </c>
      <c r="C223" s="15" t="s">
        <v>99</v>
      </c>
      <c r="D223" s="15" t="s">
        <v>70</v>
      </c>
      <c r="E223" s="15" t="s">
        <v>89</v>
      </c>
      <c r="F223" s="15" t="s">
        <v>90</v>
      </c>
      <c r="G223" s="15" t="s">
        <v>91</v>
      </c>
      <c r="H223" s="15" t="s">
        <v>39</v>
      </c>
      <c r="I223" s="15" t="s">
        <v>92</v>
      </c>
      <c r="J223" s="15" t="s">
        <v>61</v>
      </c>
      <c r="K223" s="15" t="s">
        <v>161</v>
      </c>
      <c r="L223" s="15">
        <v>5</v>
      </c>
      <c r="M223" s="16">
        <v>11.25</v>
      </c>
      <c r="N223" s="16">
        <v>56.25</v>
      </c>
      <c r="O223" s="16">
        <v>2.81</v>
      </c>
      <c r="P223" s="16">
        <v>53.44</v>
      </c>
      <c r="Q223" s="16">
        <v>26.39</v>
      </c>
      <c r="R223" s="16">
        <v>27.05</v>
      </c>
      <c r="S223" s="15" t="s">
        <v>43</v>
      </c>
      <c r="T223" s="15" t="s">
        <v>63</v>
      </c>
      <c r="U223" s="17">
        <v>4</v>
      </c>
    </row>
    <row r="224" spans="1:21" x14ac:dyDescent="0.8">
      <c r="A224" s="13" t="s">
        <v>352</v>
      </c>
      <c r="B224" s="14">
        <v>45530</v>
      </c>
      <c r="C224" s="15" t="s">
        <v>75</v>
      </c>
      <c r="D224" s="15" t="s">
        <v>47</v>
      </c>
      <c r="E224" s="15" t="s">
        <v>163</v>
      </c>
      <c r="F224" s="15" t="s">
        <v>164</v>
      </c>
      <c r="G224" s="15" t="s">
        <v>165</v>
      </c>
      <c r="H224" s="15" t="s">
        <v>39</v>
      </c>
      <c r="I224" s="15" t="s">
        <v>85</v>
      </c>
      <c r="J224" s="15" t="s">
        <v>78</v>
      </c>
      <c r="K224" s="15" t="s">
        <v>143</v>
      </c>
      <c r="L224" s="15">
        <v>2</v>
      </c>
      <c r="M224" s="16">
        <v>2.87</v>
      </c>
      <c r="N224" s="16">
        <v>5.74</v>
      </c>
      <c r="O224" s="16">
        <v>0</v>
      </c>
      <c r="P224" s="16">
        <v>5.74</v>
      </c>
      <c r="Q224" s="16">
        <v>2.36</v>
      </c>
      <c r="R224" s="16">
        <v>3.38</v>
      </c>
      <c r="S224" s="15" t="s">
        <v>123</v>
      </c>
      <c r="T224" s="15" t="s">
        <v>144</v>
      </c>
      <c r="U224" s="17">
        <v>3</v>
      </c>
    </row>
    <row r="225" spans="1:21" x14ac:dyDescent="0.8">
      <c r="A225" s="13" t="s">
        <v>353</v>
      </c>
      <c r="B225" s="14">
        <v>45531</v>
      </c>
      <c r="C225" s="15" t="s">
        <v>81</v>
      </c>
      <c r="D225" s="15" t="s">
        <v>35</v>
      </c>
      <c r="E225" s="15" t="s">
        <v>58</v>
      </c>
      <c r="F225" s="15" t="s">
        <v>59</v>
      </c>
      <c r="G225" s="15" t="s">
        <v>60</v>
      </c>
      <c r="H225" s="15" t="s">
        <v>39</v>
      </c>
      <c r="I225" s="15" t="s">
        <v>40</v>
      </c>
      <c r="J225" s="15" t="s">
        <v>41</v>
      </c>
      <c r="K225" s="15" t="s">
        <v>239</v>
      </c>
      <c r="L225" s="15">
        <v>1</v>
      </c>
      <c r="M225" s="16">
        <v>2.02</v>
      </c>
      <c r="N225" s="16">
        <v>2.02</v>
      </c>
      <c r="O225" s="16">
        <v>0.1</v>
      </c>
      <c r="P225" s="16">
        <v>1.92</v>
      </c>
      <c r="Q225" s="16">
        <v>0.95</v>
      </c>
      <c r="R225" s="16">
        <v>0.97</v>
      </c>
      <c r="S225" s="15" t="s">
        <v>102</v>
      </c>
      <c r="T225" s="15" t="s">
        <v>73</v>
      </c>
      <c r="U225" s="17">
        <v>5</v>
      </c>
    </row>
    <row r="226" spans="1:21" x14ac:dyDescent="0.8">
      <c r="A226" s="13" t="s">
        <v>354</v>
      </c>
      <c r="B226" s="14">
        <v>45532</v>
      </c>
      <c r="C226" s="15" t="s">
        <v>34</v>
      </c>
      <c r="D226" s="15" t="s">
        <v>70</v>
      </c>
      <c r="E226" s="15" t="s">
        <v>104</v>
      </c>
      <c r="F226" s="15" t="s">
        <v>105</v>
      </c>
      <c r="G226" s="15" t="s">
        <v>106</v>
      </c>
      <c r="H226" s="15" t="s">
        <v>39</v>
      </c>
      <c r="I226" s="15" t="s">
        <v>85</v>
      </c>
      <c r="J226" s="15" t="s">
        <v>52</v>
      </c>
      <c r="K226" s="15" t="s">
        <v>169</v>
      </c>
      <c r="L226" s="15">
        <v>2</v>
      </c>
      <c r="M226" s="16">
        <v>3.01</v>
      </c>
      <c r="N226" s="16">
        <v>6.02</v>
      </c>
      <c r="O226" s="16">
        <v>0</v>
      </c>
      <c r="P226" s="16">
        <v>6.02</v>
      </c>
      <c r="Q226" s="16">
        <v>2.34</v>
      </c>
      <c r="R226" s="16">
        <v>3.68</v>
      </c>
      <c r="S226" s="15" t="s">
        <v>102</v>
      </c>
      <c r="T226" s="15" t="s">
        <v>73</v>
      </c>
      <c r="U226" s="17">
        <v>4</v>
      </c>
    </row>
    <row r="227" spans="1:21" x14ac:dyDescent="0.8">
      <c r="A227" s="13" t="s">
        <v>355</v>
      </c>
      <c r="B227" s="14">
        <v>45532</v>
      </c>
      <c r="C227" s="15" t="s">
        <v>34</v>
      </c>
      <c r="D227" s="15" t="s">
        <v>65</v>
      </c>
      <c r="E227" s="15" t="s">
        <v>104</v>
      </c>
      <c r="F227" s="15" t="s">
        <v>105</v>
      </c>
      <c r="G227" s="15" t="s">
        <v>106</v>
      </c>
      <c r="H227" s="15" t="s">
        <v>39</v>
      </c>
      <c r="I227" s="15" t="s">
        <v>85</v>
      </c>
      <c r="J227" s="15" t="s">
        <v>52</v>
      </c>
      <c r="K227" s="15" t="s">
        <v>53</v>
      </c>
      <c r="L227" s="15">
        <v>5</v>
      </c>
      <c r="M227" s="16">
        <v>2.4500000000000002</v>
      </c>
      <c r="N227" s="16">
        <v>12.25</v>
      </c>
      <c r="O227" s="16">
        <v>0</v>
      </c>
      <c r="P227" s="16">
        <v>12.25</v>
      </c>
      <c r="Q227" s="16">
        <v>6.22</v>
      </c>
      <c r="R227" s="16">
        <v>6.03</v>
      </c>
      <c r="S227" s="15" t="s">
        <v>123</v>
      </c>
      <c r="T227" s="15" t="s">
        <v>44</v>
      </c>
      <c r="U227" s="17">
        <v>5</v>
      </c>
    </row>
    <row r="228" spans="1:21" x14ac:dyDescent="0.8">
      <c r="A228" s="13" t="s">
        <v>356</v>
      </c>
      <c r="B228" s="14">
        <v>45535</v>
      </c>
      <c r="C228" s="15" t="s">
        <v>69</v>
      </c>
      <c r="D228" s="15" t="s">
        <v>35</v>
      </c>
      <c r="E228" s="15" t="s">
        <v>131</v>
      </c>
      <c r="F228" s="15" t="s">
        <v>132</v>
      </c>
      <c r="G228" s="15" t="s">
        <v>133</v>
      </c>
      <c r="H228" s="15" t="s">
        <v>39</v>
      </c>
      <c r="I228" s="15" t="s">
        <v>134</v>
      </c>
      <c r="J228" s="15" t="s">
        <v>100</v>
      </c>
      <c r="K228" s="15" t="s">
        <v>117</v>
      </c>
      <c r="L228" s="15">
        <v>2</v>
      </c>
      <c r="M228" s="16">
        <v>3.32</v>
      </c>
      <c r="N228" s="16">
        <v>6.64</v>
      </c>
      <c r="O228" s="16">
        <v>0</v>
      </c>
      <c r="P228" s="16">
        <v>6.64</v>
      </c>
      <c r="Q228" s="16">
        <v>3.25</v>
      </c>
      <c r="R228" s="16">
        <v>3.39</v>
      </c>
      <c r="S228" s="15" t="s">
        <v>72</v>
      </c>
      <c r="T228" s="15" t="s">
        <v>63</v>
      </c>
      <c r="U228" s="17">
        <v>3</v>
      </c>
    </row>
    <row r="229" spans="1:21" x14ac:dyDescent="0.8">
      <c r="A229" s="13" t="s">
        <v>357</v>
      </c>
      <c r="B229" s="14">
        <v>45535</v>
      </c>
      <c r="C229" s="15" t="s">
        <v>69</v>
      </c>
      <c r="D229" s="15" t="s">
        <v>65</v>
      </c>
      <c r="E229" s="15" t="s">
        <v>48</v>
      </c>
      <c r="F229" s="15" t="s">
        <v>49</v>
      </c>
      <c r="G229" s="15" t="s">
        <v>50</v>
      </c>
      <c r="H229" s="15" t="s">
        <v>39</v>
      </c>
      <c r="I229" s="15" t="s">
        <v>51</v>
      </c>
      <c r="J229" s="15" t="s">
        <v>52</v>
      </c>
      <c r="K229" s="15" t="s">
        <v>180</v>
      </c>
      <c r="L229" s="15">
        <v>3</v>
      </c>
      <c r="M229" s="16">
        <v>3.74</v>
      </c>
      <c r="N229" s="16">
        <v>11.22</v>
      </c>
      <c r="O229" s="16">
        <v>0</v>
      </c>
      <c r="P229" s="16">
        <v>11.22</v>
      </c>
      <c r="Q229" s="16">
        <v>4.0599999999999996</v>
      </c>
      <c r="R229" s="16">
        <v>7.16</v>
      </c>
      <c r="S229" s="15" t="s">
        <v>102</v>
      </c>
      <c r="T229" s="15" t="s">
        <v>73</v>
      </c>
      <c r="U229" s="17">
        <v>4</v>
      </c>
    </row>
    <row r="230" spans="1:21" x14ac:dyDescent="0.8">
      <c r="A230" s="13" t="s">
        <v>358</v>
      </c>
      <c r="B230" s="14">
        <v>45536</v>
      </c>
      <c r="C230" s="15" t="s">
        <v>99</v>
      </c>
      <c r="D230" s="15" t="s">
        <v>35</v>
      </c>
      <c r="E230" s="15" t="s">
        <v>89</v>
      </c>
      <c r="F230" s="15" t="s">
        <v>90</v>
      </c>
      <c r="G230" s="15" t="s">
        <v>91</v>
      </c>
      <c r="H230" s="15" t="s">
        <v>39</v>
      </c>
      <c r="I230" s="15" t="s">
        <v>92</v>
      </c>
      <c r="J230" s="15" t="s">
        <v>61</v>
      </c>
      <c r="K230" s="15" t="s">
        <v>121</v>
      </c>
      <c r="L230" s="15">
        <v>1</v>
      </c>
      <c r="M230" s="16">
        <v>9.49</v>
      </c>
      <c r="N230" s="16">
        <v>9.49</v>
      </c>
      <c r="O230" s="16">
        <v>1.42</v>
      </c>
      <c r="P230" s="16">
        <v>8.07</v>
      </c>
      <c r="Q230" s="16">
        <v>2.94</v>
      </c>
      <c r="R230" s="16">
        <v>5.13</v>
      </c>
      <c r="S230" s="15" t="s">
        <v>102</v>
      </c>
      <c r="T230" s="15" t="s">
        <v>73</v>
      </c>
      <c r="U230" s="17">
        <v>4</v>
      </c>
    </row>
    <row r="231" spans="1:21" x14ac:dyDescent="0.8">
      <c r="A231" s="13" t="s">
        <v>359</v>
      </c>
      <c r="B231" s="14">
        <v>45536</v>
      </c>
      <c r="C231" s="15" t="s">
        <v>99</v>
      </c>
      <c r="D231" s="15" t="s">
        <v>70</v>
      </c>
      <c r="E231" s="15" t="s">
        <v>114</v>
      </c>
      <c r="F231" s="15" t="s">
        <v>115</v>
      </c>
      <c r="G231" s="15" t="s">
        <v>116</v>
      </c>
      <c r="H231" s="15" t="s">
        <v>39</v>
      </c>
      <c r="I231" s="15" t="s">
        <v>51</v>
      </c>
      <c r="J231" s="15" t="s">
        <v>52</v>
      </c>
      <c r="K231" s="15" t="s">
        <v>180</v>
      </c>
      <c r="L231" s="15">
        <v>1</v>
      </c>
      <c r="M231" s="16">
        <v>3.83</v>
      </c>
      <c r="N231" s="16">
        <v>3.83</v>
      </c>
      <c r="O231" s="16">
        <v>0</v>
      </c>
      <c r="P231" s="16">
        <v>3.83</v>
      </c>
      <c r="Q231" s="16">
        <v>2.06</v>
      </c>
      <c r="R231" s="16">
        <v>1.77</v>
      </c>
      <c r="S231" s="15" t="s">
        <v>93</v>
      </c>
      <c r="T231" s="15" t="s">
        <v>144</v>
      </c>
      <c r="U231" s="17">
        <v>5</v>
      </c>
    </row>
    <row r="232" spans="1:21" x14ac:dyDescent="0.8">
      <c r="A232" s="13" t="s">
        <v>360</v>
      </c>
      <c r="B232" s="14">
        <v>45536</v>
      </c>
      <c r="C232" s="15" t="s">
        <v>99</v>
      </c>
      <c r="D232" s="15" t="s">
        <v>65</v>
      </c>
      <c r="E232" s="15" t="s">
        <v>82</v>
      </c>
      <c r="F232" s="15" t="s">
        <v>83</v>
      </c>
      <c r="G232" s="15" t="s">
        <v>84</v>
      </c>
      <c r="H232" s="15" t="s">
        <v>39</v>
      </c>
      <c r="I232" s="15" t="s">
        <v>85</v>
      </c>
      <c r="J232" s="15" t="s">
        <v>41</v>
      </c>
      <c r="K232" s="15" t="s">
        <v>125</v>
      </c>
      <c r="L232" s="15">
        <v>1</v>
      </c>
      <c r="M232" s="16">
        <v>2.82</v>
      </c>
      <c r="N232" s="16">
        <v>2.82</v>
      </c>
      <c r="O232" s="16">
        <v>0</v>
      </c>
      <c r="P232" s="16">
        <v>2.82</v>
      </c>
      <c r="Q232" s="16">
        <v>1.38</v>
      </c>
      <c r="R232" s="16">
        <v>1.44</v>
      </c>
      <c r="S232" s="15" t="s">
        <v>102</v>
      </c>
      <c r="T232" s="15" t="s">
        <v>63</v>
      </c>
      <c r="U232" s="17">
        <v>3</v>
      </c>
    </row>
    <row r="233" spans="1:21" x14ac:dyDescent="0.8">
      <c r="A233" s="13" t="s">
        <v>361</v>
      </c>
      <c r="B233" s="14">
        <v>45538</v>
      </c>
      <c r="C233" s="15" t="s">
        <v>81</v>
      </c>
      <c r="D233" s="15" t="s">
        <v>47</v>
      </c>
      <c r="E233" s="15" t="s">
        <v>163</v>
      </c>
      <c r="F233" s="15" t="s">
        <v>164</v>
      </c>
      <c r="G233" s="15" t="s">
        <v>165</v>
      </c>
      <c r="H233" s="15" t="s">
        <v>39</v>
      </c>
      <c r="I233" s="15" t="s">
        <v>85</v>
      </c>
      <c r="J233" s="15" t="s">
        <v>41</v>
      </c>
      <c r="K233" s="15" t="s">
        <v>239</v>
      </c>
      <c r="L233" s="15">
        <v>1</v>
      </c>
      <c r="M233" s="16">
        <v>1.94</v>
      </c>
      <c r="N233" s="16">
        <v>1.94</v>
      </c>
      <c r="O233" s="16">
        <v>0</v>
      </c>
      <c r="P233" s="16">
        <v>1.94</v>
      </c>
      <c r="Q233" s="16">
        <v>0.9</v>
      </c>
      <c r="R233" s="16">
        <v>1.04</v>
      </c>
      <c r="S233" s="15" t="s">
        <v>72</v>
      </c>
      <c r="T233" s="15" t="s">
        <v>44</v>
      </c>
      <c r="U233" s="17">
        <v>5</v>
      </c>
    </row>
    <row r="234" spans="1:21" x14ac:dyDescent="0.8">
      <c r="A234" s="13" t="s">
        <v>362</v>
      </c>
      <c r="B234" s="14">
        <v>45539</v>
      </c>
      <c r="C234" s="15" t="s">
        <v>34</v>
      </c>
      <c r="D234" s="15" t="s">
        <v>47</v>
      </c>
      <c r="E234" s="15" t="s">
        <v>131</v>
      </c>
      <c r="F234" s="15" t="s">
        <v>132</v>
      </c>
      <c r="G234" s="15" t="s">
        <v>133</v>
      </c>
      <c r="H234" s="15" t="s">
        <v>39</v>
      </c>
      <c r="I234" s="15" t="s">
        <v>134</v>
      </c>
      <c r="J234" s="15" t="s">
        <v>52</v>
      </c>
      <c r="K234" s="15" t="s">
        <v>53</v>
      </c>
      <c r="L234" s="15">
        <v>1</v>
      </c>
      <c r="M234" s="16">
        <v>2.4700000000000002</v>
      </c>
      <c r="N234" s="16">
        <v>2.4700000000000002</v>
      </c>
      <c r="O234" s="16">
        <v>0</v>
      </c>
      <c r="P234" s="16">
        <v>2.4700000000000002</v>
      </c>
      <c r="Q234" s="16">
        <v>0.88</v>
      </c>
      <c r="R234" s="16">
        <v>1.59</v>
      </c>
      <c r="S234" s="15" t="s">
        <v>54</v>
      </c>
      <c r="T234" s="15" t="s">
        <v>73</v>
      </c>
      <c r="U234" s="17">
        <v>4</v>
      </c>
    </row>
    <row r="235" spans="1:21" x14ac:dyDescent="0.8">
      <c r="A235" s="13" t="s">
        <v>363</v>
      </c>
      <c r="B235" s="14">
        <v>45539</v>
      </c>
      <c r="C235" s="15" t="s">
        <v>34</v>
      </c>
      <c r="D235" s="15" t="s">
        <v>35</v>
      </c>
      <c r="E235" s="15" t="s">
        <v>82</v>
      </c>
      <c r="F235" s="15" t="s">
        <v>83</v>
      </c>
      <c r="G235" s="15" t="s">
        <v>84</v>
      </c>
      <c r="H235" s="15" t="s">
        <v>39</v>
      </c>
      <c r="I235" s="15" t="s">
        <v>85</v>
      </c>
      <c r="J235" s="15" t="s">
        <v>66</v>
      </c>
      <c r="K235" s="15" t="s">
        <v>183</v>
      </c>
      <c r="L235" s="15">
        <v>4</v>
      </c>
      <c r="M235" s="16">
        <v>1.45</v>
      </c>
      <c r="N235" s="16">
        <v>5.8</v>
      </c>
      <c r="O235" s="16">
        <v>0.57999999999999996</v>
      </c>
      <c r="P235" s="16">
        <v>5.22</v>
      </c>
      <c r="Q235" s="16">
        <v>2.59</v>
      </c>
      <c r="R235" s="16">
        <v>2.63</v>
      </c>
      <c r="S235" s="15" t="s">
        <v>123</v>
      </c>
      <c r="T235" s="15" t="s">
        <v>55</v>
      </c>
      <c r="U235" s="17">
        <v>4</v>
      </c>
    </row>
    <row r="236" spans="1:21" x14ac:dyDescent="0.8">
      <c r="A236" s="13" t="s">
        <v>364</v>
      </c>
      <c r="B236" s="14">
        <v>45541</v>
      </c>
      <c r="C236" s="15" t="s">
        <v>57</v>
      </c>
      <c r="D236" s="15" t="s">
        <v>65</v>
      </c>
      <c r="E236" s="15" t="s">
        <v>82</v>
      </c>
      <c r="F236" s="15" t="s">
        <v>83</v>
      </c>
      <c r="G236" s="15" t="s">
        <v>84</v>
      </c>
      <c r="H236" s="15" t="s">
        <v>39</v>
      </c>
      <c r="I236" s="15" t="s">
        <v>85</v>
      </c>
      <c r="J236" s="15" t="s">
        <v>78</v>
      </c>
      <c r="K236" s="15" t="s">
        <v>141</v>
      </c>
      <c r="L236" s="15">
        <v>1</v>
      </c>
      <c r="M236" s="16">
        <v>6.4</v>
      </c>
      <c r="N236" s="16">
        <v>6.4</v>
      </c>
      <c r="O236" s="16">
        <v>0</v>
      </c>
      <c r="P236" s="16">
        <v>6.4</v>
      </c>
      <c r="Q236" s="16">
        <v>3.14</v>
      </c>
      <c r="R236" s="16">
        <v>3.26</v>
      </c>
      <c r="S236" s="15" t="s">
        <v>54</v>
      </c>
      <c r="T236" s="15" t="s">
        <v>87</v>
      </c>
      <c r="U236" s="17">
        <v>4</v>
      </c>
    </row>
    <row r="237" spans="1:21" x14ac:dyDescent="0.8">
      <c r="A237" s="13" t="s">
        <v>365</v>
      </c>
      <c r="B237" s="14">
        <v>45543</v>
      </c>
      <c r="C237" s="15" t="s">
        <v>99</v>
      </c>
      <c r="D237" s="15" t="s">
        <v>47</v>
      </c>
      <c r="E237" s="15" t="s">
        <v>48</v>
      </c>
      <c r="F237" s="15" t="s">
        <v>49</v>
      </c>
      <c r="G237" s="15" t="s">
        <v>50</v>
      </c>
      <c r="H237" s="15" t="s">
        <v>39</v>
      </c>
      <c r="I237" s="15" t="s">
        <v>51</v>
      </c>
      <c r="J237" s="15" t="s">
        <v>41</v>
      </c>
      <c r="K237" s="15" t="s">
        <v>154</v>
      </c>
      <c r="L237" s="15">
        <v>3</v>
      </c>
      <c r="M237" s="16">
        <v>1.46</v>
      </c>
      <c r="N237" s="16">
        <v>4.38</v>
      </c>
      <c r="O237" s="16">
        <v>0.44</v>
      </c>
      <c r="P237" s="16">
        <v>3.94</v>
      </c>
      <c r="Q237" s="16">
        <v>1.76</v>
      </c>
      <c r="R237" s="16">
        <v>2.1800000000000002</v>
      </c>
      <c r="S237" s="15" t="s">
        <v>43</v>
      </c>
      <c r="T237" s="15" t="s">
        <v>73</v>
      </c>
      <c r="U237" s="17">
        <v>4</v>
      </c>
    </row>
    <row r="238" spans="1:21" x14ac:dyDescent="0.8">
      <c r="A238" s="13" t="s">
        <v>366</v>
      </c>
      <c r="B238" s="14">
        <v>45543</v>
      </c>
      <c r="C238" s="15" t="s">
        <v>99</v>
      </c>
      <c r="D238" s="15" t="s">
        <v>35</v>
      </c>
      <c r="E238" s="15" t="s">
        <v>36</v>
      </c>
      <c r="F238" s="15" t="s">
        <v>37</v>
      </c>
      <c r="G238" s="15" t="s">
        <v>38</v>
      </c>
      <c r="H238" s="15" t="s">
        <v>39</v>
      </c>
      <c r="I238" s="15" t="s">
        <v>40</v>
      </c>
      <c r="J238" s="15" t="s">
        <v>100</v>
      </c>
      <c r="K238" s="15" t="s">
        <v>111</v>
      </c>
      <c r="L238" s="15">
        <v>4</v>
      </c>
      <c r="M238" s="16">
        <v>5.97</v>
      </c>
      <c r="N238" s="16">
        <v>23.88</v>
      </c>
      <c r="O238" s="16">
        <v>3.58</v>
      </c>
      <c r="P238" s="16">
        <v>20.3</v>
      </c>
      <c r="Q238" s="16">
        <v>8.91</v>
      </c>
      <c r="R238" s="16">
        <v>11.39</v>
      </c>
      <c r="S238" s="15" t="s">
        <v>102</v>
      </c>
      <c r="T238" s="15" t="s">
        <v>73</v>
      </c>
      <c r="U238" s="17">
        <v>5</v>
      </c>
    </row>
    <row r="239" spans="1:21" x14ac:dyDescent="0.8">
      <c r="A239" s="13" t="s">
        <v>367</v>
      </c>
      <c r="B239" s="14">
        <v>45545</v>
      </c>
      <c r="C239" s="15" t="s">
        <v>81</v>
      </c>
      <c r="D239" s="15" t="s">
        <v>35</v>
      </c>
      <c r="E239" s="15" t="s">
        <v>131</v>
      </c>
      <c r="F239" s="15" t="s">
        <v>132</v>
      </c>
      <c r="G239" s="15" t="s">
        <v>133</v>
      </c>
      <c r="H239" s="15" t="s">
        <v>39</v>
      </c>
      <c r="I239" s="15" t="s">
        <v>134</v>
      </c>
      <c r="J239" s="15" t="s">
        <v>61</v>
      </c>
      <c r="K239" s="15" t="s">
        <v>121</v>
      </c>
      <c r="L239" s="15">
        <v>2</v>
      </c>
      <c r="M239" s="16">
        <v>9.2799999999999994</v>
      </c>
      <c r="N239" s="16">
        <v>18.559999999999999</v>
      </c>
      <c r="O239" s="16">
        <v>0</v>
      </c>
      <c r="P239" s="16">
        <v>18.559999999999999</v>
      </c>
      <c r="Q239" s="16">
        <v>7.96</v>
      </c>
      <c r="R239" s="16">
        <v>10.6</v>
      </c>
      <c r="S239" s="15" t="s">
        <v>43</v>
      </c>
      <c r="T239" s="15" t="s">
        <v>63</v>
      </c>
      <c r="U239" s="17">
        <v>4</v>
      </c>
    </row>
    <row r="240" spans="1:21" x14ac:dyDescent="0.8">
      <c r="A240" s="13" t="s">
        <v>368</v>
      </c>
      <c r="B240" s="14">
        <v>45547</v>
      </c>
      <c r="C240" s="15" t="s">
        <v>46</v>
      </c>
      <c r="D240" s="15" t="s">
        <v>65</v>
      </c>
      <c r="E240" s="15" t="s">
        <v>89</v>
      </c>
      <c r="F240" s="15" t="s">
        <v>90</v>
      </c>
      <c r="G240" s="15" t="s">
        <v>91</v>
      </c>
      <c r="H240" s="15" t="s">
        <v>39</v>
      </c>
      <c r="I240" s="15" t="s">
        <v>92</v>
      </c>
      <c r="J240" s="15" t="s">
        <v>78</v>
      </c>
      <c r="K240" s="15" t="s">
        <v>97</v>
      </c>
      <c r="L240" s="15">
        <v>1</v>
      </c>
      <c r="M240" s="16">
        <v>3.34</v>
      </c>
      <c r="N240" s="16">
        <v>3.34</v>
      </c>
      <c r="O240" s="16">
        <v>0.33</v>
      </c>
      <c r="P240" s="16">
        <v>3.01</v>
      </c>
      <c r="Q240" s="16">
        <v>1.18</v>
      </c>
      <c r="R240" s="16">
        <v>1.83</v>
      </c>
      <c r="S240" s="15" t="s">
        <v>43</v>
      </c>
      <c r="T240" s="15" t="s">
        <v>55</v>
      </c>
      <c r="U240" s="17">
        <v>5</v>
      </c>
    </row>
    <row r="241" spans="1:21" x14ac:dyDescent="0.8">
      <c r="A241" s="13" t="s">
        <v>369</v>
      </c>
      <c r="B241" s="14">
        <v>45547</v>
      </c>
      <c r="C241" s="15" t="s">
        <v>46</v>
      </c>
      <c r="D241" s="15" t="s">
        <v>70</v>
      </c>
      <c r="E241" s="15" t="s">
        <v>131</v>
      </c>
      <c r="F241" s="15" t="s">
        <v>132</v>
      </c>
      <c r="G241" s="15" t="s">
        <v>133</v>
      </c>
      <c r="H241" s="15" t="s">
        <v>39</v>
      </c>
      <c r="I241" s="15" t="s">
        <v>134</v>
      </c>
      <c r="J241" s="15" t="s">
        <v>100</v>
      </c>
      <c r="K241" s="15" t="s">
        <v>243</v>
      </c>
      <c r="L241" s="15">
        <v>4</v>
      </c>
      <c r="M241" s="16">
        <v>5.52</v>
      </c>
      <c r="N241" s="16">
        <v>22.08</v>
      </c>
      <c r="O241" s="16">
        <v>0</v>
      </c>
      <c r="P241" s="16">
        <v>22.08</v>
      </c>
      <c r="Q241" s="16">
        <v>9.1300000000000008</v>
      </c>
      <c r="R241" s="16">
        <v>12.95</v>
      </c>
      <c r="S241" s="15" t="s">
        <v>72</v>
      </c>
      <c r="T241" s="15" t="s">
        <v>87</v>
      </c>
      <c r="U241" s="17">
        <v>4</v>
      </c>
    </row>
    <row r="242" spans="1:21" x14ac:dyDescent="0.8">
      <c r="A242" s="13" t="s">
        <v>370</v>
      </c>
      <c r="B242" s="14">
        <v>45551</v>
      </c>
      <c r="C242" s="15" t="s">
        <v>75</v>
      </c>
      <c r="D242" s="15" t="s">
        <v>47</v>
      </c>
      <c r="E242" s="15" t="s">
        <v>114</v>
      </c>
      <c r="F242" s="15" t="s">
        <v>115</v>
      </c>
      <c r="G242" s="15" t="s">
        <v>116</v>
      </c>
      <c r="H242" s="15" t="s">
        <v>39</v>
      </c>
      <c r="I242" s="15" t="s">
        <v>51</v>
      </c>
      <c r="J242" s="15" t="s">
        <v>61</v>
      </c>
      <c r="K242" s="15" t="s">
        <v>62</v>
      </c>
      <c r="L242" s="15">
        <v>3</v>
      </c>
      <c r="M242" s="16">
        <v>10.4</v>
      </c>
      <c r="N242" s="16">
        <v>31.2</v>
      </c>
      <c r="O242" s="16">
        <v>4.68</v>
      </c>
      <c r="P242" s="16">
        <v>26.52</v>
      </c>
      <c r="Q242" s="16">
        <v>12.13</v>
      </c>
      <c r="R242" s="16">
        <v>14.39</v>
      </c>
      <c r="S242" s="15" t="s">
        <v>54</v>
      </c>
      <c r="T242" s="15" t="s">
        <v>144</v>
      </c>
      <c r="U242" s="17">
        <v>5</v>
      </c>
    </row>
    <row r="243" spans="1:21" x14ac:dyDescent="0.8">
      <c r="A243" s="13" t="s">
        <v>371</v>
      </c>
      <c r="B243" s="14">
        <v>45551</v>
      </c>
      <c r="C243" s="15" t="s">
        <v>75</v>
      </c>
      <c r="D243" s="15" t="s">
        <v>47</v>
      </c>
      <c r="E243" s="15" t="s">
        <v>114</v>
      </c>
      <c r="F243" s="15" t="s">
        <v>115</v>
      </c>
      <c r="G243" s="15" t="s">
        <v>116</v>
      </c>
      <c r="H243" s="15" t="s">
        <v>39</v>
      </c>
      <c r="I243" s="15" t="s">
        <v>51</v>
      </c>
      <c r="J243" s="15" t="s">
        <v>41</v>
      </c>
      <c r="K243" s="15" t="s">
        <v>125</v>
      </c>
      <c r="L243" s="15">
        <v>4</v>
      </c>
      <c r="M243" s="16">
        <v>2.71</v>
      </c>
      <c r="N243" s="16">
        <v>10.84</v>
      </c>
      <c r="O243" s="16">
        <v>0</v>
      </c>
      <c r="P243" s="16">
        <v>10.84</v>
      </c>
      <c r="Q243" s="16">
        <v>5.6</v>
      </c>
      <c r="R243" s="16">
        <v>5.24</v>
      </c>
      <c r="S243" s="15" t="s">
        <v>102</v>
      </c>
      <c r="T243" s="15" t="s">
        <v>44</v>
      </c>
      <c r="U243" s="17">
        <v>4</v>
      </c>
    </row>
    <row r="244" spans="1:21" x14ac:dyDescent="0.8">
      <c r="A244" s="13" t="s">
        <v>372</v>
      </c>
      <c r="B244" s="14">
        <v>45552</v>
      </c>
      <c r="C244" s="15" t="s">
        <v>81</v>
      </c>
      <c r="D244" s="15" t="s">
        <v>65</v>
      </c>
      <c r="E244" s="15" t="s">
        <v>104</v>
      </c>
      <c r="F244" s="15" t="s">
        <v>105</v>
      </c>
      <c r="G244" s="15" t="s">
        <v>106</v>
      </c>
      <c r="H244" s="15" t="s">
        <v>39</v>
      </c>
      <c r="I244" s="15" t="s">
        <v>85</v>
      </c>
      <c r="J244" s="15" t="s">
        <v>100</v>
      </c>
      <c r="K244" s="15" t="s">
        <v>185</v>
      </c>
      <c r="L244" s="15">
        <v>1</v>
      </c>
      <c r="M244" s="16">
        <v>6.48</v>
      </c>
      <c r="N244" s="16">
        <v>6.48</v>
      </c>
      <c r="O244" s="16">
        <v>0</v>
      </c>
      <c r="P244" s="16">
        <v>6.48</v>
      </c>
      <c r="Q244" s="16">
        <v>2.46</v>
      </c>
      <c r="R244" s="16">
        <v>4.0199999999999996</v>
      </c>
      <c r="S244" s="15" t="s">
        <v>102</v>
      </c>
      <c r="T244" s="15" t="s">
        <v>87</v>
      </c>
      <c r="U244" s="17">
        <v>5</v>
      </c>
    </row>
    <row r="245" spans="1:21" x14ac:dyDescent="0.8">
      <c r="A245" s="13" t="s">
        <v>373</v>
      </c>
      <c r="B245" s="14">
        <v>45552</v>
      </c>
      <c r="C245" s="15" t="s">
        <v>81</v>
      </c>
      <c r="D245" s="15" t="s">
        <v>65</v>
      </c>
      <c r="E245" s="15" t="s">
        <v>114</v>
      </c>
      <c r="F245" s="15" t="s">
        <v>115</v>
      </c>
      <c r="G245" s="15" t="s">
        <v>116</v>
      </c>
      <c r="H245" s="15" t="s">
        <v>39</v>
      </c>
      <c r="I245" s="15" t="s">
        <v>51</v>
      </c>
      <c r="J245" s="15" t="s">
        <v>61</v>
      </c>
      <c r="K245" s="15" t="s">
        <v>62</v>
      </c>
      <c r="L245" s="15">
        <v>1</v>
      </c>
      <c r="M245" s="16">
        <v>10.26</v>
      </c>
      <c r="N245" s="16">
        <v>10.26</v>
      </c>
      <c r="O245" s="16">
        <v>0</v>
      </c>
      <c r="P245" s="16">
        <v>10.26</v>
      </c>
      <c r="Q245" s="16">
        <v>4.5599999999999996</v>
      </c>
      <c r="R245" s="16">
        <v>5.7</v>
      </c>
      <c r="S245" s="15" t="s">
        <v>72</v>
      </c>
      <c r="T245" s="15" t="s">
        <v>44</v>
      </c>
      <c r="U245" s="17">
        <v>5</v>
      </c>
    </row>
    <row r="246" spans="1:21" x14ac:dyDescent="0.8">
      <c r="A246" s="13" t="s">
        <v>374</v>
      </c>
      <c r="B246" s="14">
        <v>45553</v>
      </c>
      <c r="C246" s="15" t="s">
        <v>34</v>
      </c>
      <c r="D246" s="15" t="s">
        <v>65</v>
      </c>
      <c r="E246" s="15" t="s">
        <v>163</v>
      </c>
      <c r="F246" s="15" t="s">
        <v>164</v>
      </c>
      <c r="G246" s="15" t="s">
        <v>165</v>
      </c>
      <c r="H246" s="15" t="s">
        <v>39</v>
      </c>
      <c r="I246" s="15" t="s">
        <v>85</v>
      </c>
      <c r="J246" s="15" t="s">
        <v>100</v>
      </c>
      <c r="K246" s="15" t="s">
        <v>117</v>
      </c>
      <c r="L246" s="15">
        <v>4</v>
      </c>
      <c r="M246" s="16">
        <v>3.22</v>
      </c>
      <c r="N246" s="16">
        <v>12.88</v>
      </c>
      <c r="O246" s="16">
        <v>0</v>
      </c>
      <c r="P246" s="16">
        <v>12.88</v>
      </c>
      <c r="Q246" s="16">
        <v>6.5</v>
      </c>
      <c r="R246" s="16">
        <v>6.38</v>
      </c>
      <c r="S246" s="15" t="s">
        <v>43</v>
      </c>
      <c r="T246" s="15" t="s">
        <v>73</v>
      </c>
      <c r="U246" s="17">
        <v>3</v>
      </c>
    </row>
    <row r="247" spans="1:21" x14ac:dyDescent="0.8">
      <c r="A247" s="13" t="s">
        <v>375</v>
      </c>
      <c r="B247" s="14">
        <v>45554</v>
      </c>
      <c r="C247" s="15" t="s">
        <v>46</v>
      </c>
      <c r="D247" s="15" t="s">
        <v>47</v>
      </c>
      <c r="E247" s="15" t="s">
        <v>76</v>
      </c>
      <c r="F247" s="15" t="s">
        <v>77</v>
      </c>
      <c r="G247" s="15" t="s">
        <v>38</v>
      </c>
      <c r="H247" s="15" t="s">
        <v>39</v>
      </c>
      <c r="I247" s="15" t="s">
        <v>40</v>
      </c>
      <c r="J247" s="15" t="s">
        <v>78</v>
      </c>
      <c r="K247" s="15" t="s">
        <v>143</v>
      </c>
      <c r="L247" s="15">
        <v>4</v>
      </c>
      <c r="M247" s="16">
        <v>2.74</v>
      </c>
      <c r="N247" s="16">
        <v>10.96</v>
      </c>
      <c r="O247" s="16">
        <v>0</v>
      </c>
      <c r="P247" s="16">
        <v>10.96</v>
      </c>
      <c r="Q247" s="16">
        <v>4.5999999999999996</v>
      </c>
      <c r="R247" s="16">
        <v>6.36</v>
      </c>
      <c r="S247" s="15" t="s">
        <v>102</v>
      </c>
      <c r="T247" s="15" t="s">
        <v>63</v>
      </c>
      <c r="U247" s="17">
        <v>4</v>
      </c>
    </row>
    <row r="248" spans="1:21" x14ac:dyDescent="0.8">
      <c r="A248" s="13" t="s">
        <v>376</v>
      </c>
      <c r="B248" s="14">
        <v>45554</v>
      </c>
      <c r="C248" s="15" t="s">
        <v>46</v>
      </c>
      <c r="D248" s="15" t="s">
        <v>47</v>
      </c>
      <c r="E248" s="15" t="s">
        <v>114</v>
      </c>
      <c r="F248" s="15" t="s">
        <v>115</v>
      </c>
      <c r="G248" s="15" t="s">
        <v>116</v>
      </c>
      <c r="H248" s="15" t="s">
        <v>39</v>
      </c>
      <c r="I248" s="15" t="s">
        <v>51</v>
      </c>
      <c r="J248" s="15" t="s">
        <v>78</v>
      </c>
      <c r="K248" s="15" t="s">
        <v>97</v>
      </c>
      <c r="L248" s="15">
        <v>1</v>
      </c>
      <c r="M248" s="16">
        <v>3.28</v>
      </c>
      <c r="N248" s="16">
        <v>3.28</v>
      </c>
      <c r="O248" s="16">
        <v>0.33</v>
      </c>
      <c r="P248" s="16">
        <v>2.95</v>
      </c>
      <c r="Q248" s="16">
        <v>1.46</v>
      </c>
      <c r="R248" s="16">
        <v>1.49</v>
      </c>
      <c r="S248" s="15" t="s">
        <v>72</v>
      </c>
      <c r="T248" s="15" t="s">
        <v>55</v>
      </c>
      <c r="U248" s="17">
        <v>5</v>
      </c>
    </row>
    <row r="249" spans="1:21" x14ac:dyDescent="0.8">
      <c r="A249" s="13" t="s">
        <v>377</v>
      </c>
      <c r="B249" s="14">
        <v>45555</v>
      </c>
      <c r="C249" s="15" t="s">
        <v>57</v>
      </c>
      <c r="D249" s="15" t="s">
        <v>35</v>
      </c>
      <c r="E249" s="15" t="s">
        <v>114</v>
      </c>
      <c r="F249" s="15" t="s">
        <v>115</v>
      </c>
      <c r="G249" s="15" t="s">
        <v>116</v>
      </c>
      <c r="H249" s="15" t="s">
        <v>39</v>
      </c>
      <c r="I249" s="15" t="s">
        <v>51</v>
      </c>
      <c r="J249" s="15" t="s">
        <v>61</v>
      </c>
      <c r="K249" s="15" t="s">
        <v>119</v>
      </c>
      <c r="L249" s="15">
        <v>1</v>
      </c>
      <c r="M249" s="16">
        <v>7.1</v>
      </c>
      <c r="N249" s="16">
        <v>7.1</v>
      </c>
      <c r="O249" s="16">
        <v>0</v>
      </c>
      <c r="P249" s="16">
        <v>7.1</v>
      </c>
      <c r="Q249" s="16">
        <v>2.99</v>
      </c>
      <c r="R249" s="16">
        <v>4.1100000000000003</v>
      </c>
      <c r="S249" s="15" t="s">
        <v>102</v>
      </c>
      <c r="T249" s="15" t="s">
        <v>73</v>
      </c>
      <c r="U249" s="17">
        <v>4</v>
      </c>
    </row>
    <row r="250" spans="1:21" x14ac:dyDescent="0.8">
      <c r="A250" s="13" t="s">
        <v>378</v>
      </c>
      <c r="B250" s="14">
        <v>45556</v>
      </c>
      <c r="C250" s="15" t="s">
        <v>69</v>
      </c>
      <c r="D250" s="15" t="s">
        <v>70</v>
      </c>
      <c r="E250" s="15" t="s">
        <v>36</v>
      </c>
      <c r="F250" s="15" t="s">
        <v>37</v>
      </c>
      <c r="G250" s="15" t="s">
        <v>38</v>
      </c>
      <c r="H250" s="15" t="s">
        <v>39</v>
      </c>
      <c r="I250" s="15" t="s">
        <v>40</v>
      </c>
      <c r="J250" s="15" t="s">
        <v>100</v>
      </c>
      <c r="K250" s="15" t="s">
        <v>111</v>
      </c>
      <c r="L250" s="15">
        <v>3</v>
      </c>
      <c r="M250" s="16">
        <v>5.99</v>
      </c>
      <c r="N250" s="16">
        <v>17.97</v>
      </c>
      <c r="O250" s="16">
        <v>1.8</v>
      </c>
      <c r="P250" s="16">
        <v>16.170000000000002</v>
      </c>
      <c r="Q250" s="16">
        <v>7.89</v>
      </c>
      <c r="R250" s="16">
        <v>8.2799999999999994</v>
      </c>
      <c r="S250" s="15" t="s">
        <v>54</v>
      </c>
      <c r="T250" s="15" t="s">
        <v>73</v>
      </c>
      <c r="U250" s="17">
        <v>4</v>
      </c>
    </row>
    <row r="251" spans="1:21" x14ac:dyDescent="0.8">
      <c r="A251" s="13" t="s">
        <v>379</v>
      </c>
      <c r="B251" s="14">
        <v>45563</v>
      </c>
      <c r="C251" s="15" t="s">
        <v>69</v>
      </c>
      <c r="D251" s="15" t="s">
        <v>35</v>
      </c>
      <c r="E251" s="15" t="s">
        <v>89</v>
      </c>
      <c r="F251" s="15" t="s">
        <v>90</v>
      </c>
      <c r="G251" s="15" t="s">
        <v>91</v>
      </c>
      <c r="H251" s="15" t="s">
        <v>39</v>
      </c>
      <c r="I251" s="15" t="s">
        <v>92</v>
      </c>
      <c r="J251" s="15" t="s">
        <v>41</v>
      </c>
      <c r="K251" s="15" t="s">
        <v>42</v>
      </c>
      <c r="L251" s="15">
        <v>1</v>
      </c>
      <c r="M251" s="16">
        <v>4.6100000000000003</v>
      </c>
      <c r="N251" s="16">
        <v>4.6100000000000003</v>
      </c>
      <c r="O251" s="16">
        <v>0.23</v>
      </c>
      <c r="P251" s="16">
        <v>4.38</v>
      </c>
      <c r="Q251" s="16">
        <v>1.66</v>
      </c>
      <c r="R251" s="16">
        <v>2.72</v>
      </c>
      <c r="S251" s="15" t="s">
        <v>102</v>
      </c>
      <c r="T251" s="15" t="s">
        <v>44</v>
      </c>
      <c r="U251" s="17">
        <v>3</v>
      </c>
    </row>
    <row r="252" spans="1:21" x14ac:dyDescent="0.8">
      <c r="A252" s="13" t="s">
        <v>380</v>
      </c>
      <c r="B252" s="14">
        <v>45564</v>
      </c>
      <c r="C252" s="15" t="s">
        <v>99</v>
      </c>
      <c r="D252" s="15" t="s">
        <v>70</v>
      </c>
      <c r="E252" s="15" t="s">
        <v>76</v>
      </c>
      <c r="F252" s="15" t="s">
        <v>77</v>
      </c>
      <c r="G252" s="15" t="s">
        <v>38</v>
      </c>
      <c r="H252" s="15" t="s">
        <v>39</v>
      </c>
      <c r="I252" s="15" t="s">
        <v>40</v>
      </c>
      <c r="J252" s="15" t="s">
        <v>41</v>
      </c>
      <c r="K252" s="15" t="s">
        <v>154</v>
      </c>
      <c r="L252" s="15">
        <v>2</v>
      </c>
      <c r="M252" s="16">
        <v>1.49</v>
      </c>
      <c r="N252" s="16">
        <v>2.98</v>
      </c>
      <c r="O252" s="16">
        <v>0</v>
      </c>
      <c r="P252" s="16">
        <v>2.98</v>
      </c>
      <c r="Q252" s="16">
        <v>1.56</v>
      </c>
      <c r="R252" s="16">
        <v>1.42</v>
      </c>
      <c r="S252" s="15" t="s">
        <v>72</v>
      </c>
      <c r="T252" s="15" t="s">
        <v>44</v>
      </c>
      <c r="U252" s="17">
        <v>5</v>
      </c>
    </row>
    <row r="253" spans="1:21" x14ac:dyDescent="0.8">
      <c r="A253" s="13" t="s">
        <v>381</v>
      </c>
      <c r="B253" s="14">
        <v>45565</v>
      </c>
      <c r="C253" s="15" t="s">
        <v>75</v>
      </c>
      <c r="D253" s="15" t="s">
        <v>70</v>
      </c>
      <c r="E253" s="15" t="s">
        <v>131</v>
      </c>
      <c r="F253" s="15" t="s">
        <v>132</v>
      </c>
      <c r="G253" s="15" t="s">
        <v>133</v>
      </c>
      <c r="H253" s="15" t="s">
        <v>39</v>
      </c>
      <c r="I253" s="15" t="s">
        <v>134</v>
      </c>
      <c r="J253" s="15" t="s">
        <v>100</v>
      </c>
      <c r="K253" s="15" t="s">
        <v>243</v>
      </c>
      <c r="L253" s="15">
        <v>5</v>
      </c>
      <c r="M253" s="16">
        <v>5.75</v>
      </c>
      <c r="N253" s="16">
        <v>28.75</v>
      </c>
      <c r="O253" s="16">
        <v>1.44</v>
      </c>
      <c r="P253" s="16">
        <v>27.31</v>
      </c>
      <c r="Q253" s="16">
        <v>9.67</v>
      </c>
      <c r="R253" s="16">
        <v>17.64</v>
      </c>
      <c r="S253" s="15" t="s">
        <v>54</v>
      </c>
      <c r="T253" s="15" t="s">
        <v>144</v>
      </c>
      <c r="U253" s="17">
        <v>4</v>
      </c>
    </row>
    <row r="254" spans="1:21" x14ac:dyDescent="0.8">
      <c r="A254" s="13" t="s">
        <v>382</v>
      </c>
      <c r="B254" s="14">
        <v>45567</v>
      </c>
      <c r="C254" s="15" t="s">
        <v>34</v>
      </c>
      <c r="D254" s="15" t="s">
        <v>35</v>
      </c>
      <c r="E254" s="15" t="s">
        <v>36</v>
      </c>
      <c r="F254" s="15" t="s">
        <v>37</v>
      </c>
      <c r="G254" s="15" t="s">
        <v>38</v>
      </c>
      <c r="H254" s="15" t="s">
        <v>39</v>
      </c>
      <c r="I254" s="15" t="s">
        <v>40</v>
      </c>
      <c r="J254" s="15" t="s">
        <v>66</v>
      </c>
      <c r="K254" s="15" t="s">
        <v>183</v>
      </c>
      <c r="L254" s="15">
        <v>1</v>
      </c>
      <c r="M254" s="16">
        <v>1.5</v>
      </c>
      <c r="N254" s="16">
        <v>1.5</v>
      </c>
      <c r="O254" s="16">
        <v>0</v>
      </c>
      <c r="P254" s="16">
        <v>1.5</v>
      </c>
      <c r="Q254" s="16">
        <v>0.62</v>
      </c>
      <c r="R254" s="16">
        <v>0.88</v>
      </c>
      <c r="S254" s="15" t="s">
        <v>102</v>
      </c>
      <c r="T254" s="15" t="s">
        <v>73</v>
      </c>
      <c r="U254" s="17">
        <v>4</v>
      </c>
    </row>
    <row r="255" spans="1:21" x14ac:dyDescent="0.8">
      <c r="A255" s="13" t="s">
        <v>384</v>
      </c>
      <c r="B255" s="14">
        <v>45568</v>
      </c>
      <c r="C255" s="15" t="s">
        <v>46</v>
      </c>
      <c r="D255" s="15" t="s">
        <v>47</v>
      </c>
      <c r="E255" s="15" t="s">
        <v>104</v>
      </c>
      <c r="F255" s="15" t="s">
        <v>105</v>
      </c>
      <c r="G255" s="15" t="s">
        <v>106</v>
      </c>
      <c r="H255" s="15" t="s">
        <v>39</v>
      </c>
      <c r="I255" s="15" t="s">
        <v>85</v>
      </c>
      <c r="J255" s="15" t="s">
        <v>66</v>
      </c>
      <c r="K255" s="15" t="s">
        <v>86</v>
      </c>
      <c r="L255" s="15">
        <v>2</v>
      </c>
      <c r="M255" s="16">
        <v>3.85</v>
      </c>
      <c r="N255" s="16">
        <v>7.7</v>
      </c>
      <c r="O255" s="16">
        <v>0.39</v>
      </c>
      <c r="P255" s="16">
        <v>7.31</v>
      </c>
      <c r="Q255" s="16">
        <v>3.66</v>
      </c>
      <c r="R255" s="16">
        <v>3.65</v>
      </c>
      <c r="S255" s="15" t="s">
        <v>93</v>
      </c>
      <c r="T255" s="15" t="s">
        <v>44</v>
      </c>
      <c r="U255" s="17">
        <v>4</v>
      </c>
    </row>
    <row r="256" spans="1:21" x14ac:dyDescent="0.8">
      <c r="A256" s="13" t="s">
        <v>385</v>
      </c>
      <c r="B256" s="14">
        <v>45570</v>
      </c>
      <c r="C256" s="15" t="s">
        <v>69</v>
      </c>
      <c r="D256" s="15" t="s">
        <v>47</v>
      </c>
      <c r="E256" s="15" t="s">
        <v>58</v>
      </c>
      <c r="F256" s="15" t="s">
        <v>59</v>
      </c>
      <c r="G256" s="15" t="s">
        <v>60</v>
      </c>
      <c r="H256" s="15" t="s">
        <v>39</v>
      </c>
      <c r="I256" s="15" t="s">
        <v>40</v>
      </c>
      <c r="J256" s="15" t="s">
        <v>61</v>
      </c>
      <c r="K256" s="15" t="s">
        <v>62</v>
      </c>
      <c r="L256" s="15">
        <v>2</v>
      </c>
      <c r="M256" s="16">
        <v>10.52</v>
      </c>
      <c r="N256" s="16">
        <v>21.04</v>
      </c>
      <c r="O256" s="16">
        <v>3.16</v>
      </c>
      <c r="P256" s="16">
        <v>17.88</v>
      </c>
      <c r="Q256" s="16">
        <v>6.63</v>
      </c>
      <c r="R256" s="16">
        <v>11.25</v>
      </c>
      <c r="S256" s="15" t="s">
        <v>93</v>
      </c>
      <c r="T256" s="15" t="s">
        <v>55</v>
      </c>
      <c r="U256" s="17">
        <v>5</v>
      </c>
    </row>
    <row r="257" spans="1:21" x14ac:dyDescent="0.8">
      <c r="A257" s="13" t="s">
        <v>386</v>
      </c>
      <c r="B257" s="14">
        <v>45570</v>
      </c>
      <c r="C257" s="15" t="s">
        <v>69</v>
      </c>
      <c r="D257" s="15" t="s">
        <v>35</v>
      </c>
      <c r="E257" s="15" t="s">
        <v>104</v>
      </c>
      <c r="F257" s="15" t="s">
        <v>105</v>
      </c>
      <c r="G257" s="15" t="s">
        <v>106</v>
      </c>
      <c r="H257" s="15" t="s">
        <v>39</v>
      </c>
      <c r="I257" s="15" t="s">
        <v>85</v>
      </c>
      <c r="J257" s="15" t="s">
        <v>78</v>
      </c>
      <c r="K257" s="15" t="s">
        <v>138</v>
      </c>
      <c r="L257" s="15">
        <v>2</v>
      </c>
      <c r="M257" s="16">
        <v>4.57</v>
      </c>
      <c r="N257" s="16">
        <v>9.14</v>
      </c>
      <c r="O257" s="16">
        <v>0</v>
      </c>
      <c r="P257" s="16">
        <v>9.14</v>
      </c>
      <c r="Q257" s="16">
        <v>4.2300000000000004</v>
      </c>
      <c r="R257" s="16">
        <v>4.91</v>
      </c>
      <c r="S257" s="15" t="s">
        <v>123</v>
      </c>
      <c r="T257" s="15" t="s">
        <v>63</v>
      </c>
      <c r="U257" s="17">
        <v>3</v>
      </c>
    </row>
    <row r="258" spans="1:21" x14ac:dyDescent="0.8">
      <c r="A258" s="13" t="s">
        <v>387</v>
      </c>
      <c r="B258" s="14">
        <v>45572</v>
      </c>
      <c r="C258" s="15" t="s">
        <v>75</v>
      </c>
      <c r="D258" s="15" t="s">
        <v>65</v>
      </c>
      <c r="E258" s="15" t="s">
        <v>131</v>
      </c>
      <c r="F258" s="15" t="s">
        <v>132</v>
      </c>
      <c r="G258" s="15" t="s">
        <v>133</v>
      </c>
      <c r="H258" s="15" t="s">
        <v>39</v>
      </c>
      <c r="I258" s="15" t="s">
        <v>134</v>
      </c>
      <c r="J258" s="15" t="s">
        <v>61</v>
      </c>
      <c r="K258" s="15" t="s">
        <v>119</v>
      </c>
      <c r="L258" s="15">
        <v>1</v>
      </c>
      <c r="M258" s="16">
        <v>6.9</v>
      </c>
      <c r="N258" s="16">
        <v>6.9</v>
      </c>
      <c r="O258" s="16">
        <v>0</v>
      </c>
      <c r="P258" s="16">
        <v>6.9</v>
      </c>
      <c r="Q258" s="16">
        <v>2.48</v>
      </c>
      <c r="R258" s="16">
        <v>4.42</v>
      </c>
      <c r="S258" s="15" t="s">
        <v>72</v>
      </c>
      <c r="T258" s="15" t="s">
        <v>73</v>
      </c>
      <c r="U258" s="17">
        <v>4</v>
      </c>
    </row>
    <row r="259" spans="1:21" x14ac:dyDescent="0.8">
      <c r="A259" s="13" t="s">
        <v>388</v>
      </c>
      <c r="B259" s="14">
        <v>45573</v>
      </c>
      <c r="C259" s="15" t="s">
        <v>81</v>
      </c>
      <c r="D259" s="15" t="s">
        <v>35</v>
      </c>
      <c r="E259" s="15" t="s">
        <v>48</v>
      </c>
      <c r="F259" s="15" t="s">
        <v>49</v>
      </c>
      <c r="G259" s="15" t="s">
        <v>50</v>
      </c>
      <c r="H259" s="15" t="s">
        <v>39</v>
      </c>
      <c r="I259" s="15" t="s">
        <v>51</v>
      </c>
      <c r="J259" s="15" t="s">
        <v>41</v>
      </c>
      <c r="K259" s="15" t="s">
        <v>239</v>
      </c>
      <c r="L259" s="15">
        <v>1</v>
      </c>
      <c r="M259" s="16">
        <v>1.98</v>
      </c>
      <c r="N259" s="16">
        <v>1.98</v>
      </c>
      <c r="O259" s="16">
        <v>0</v>
      </c>
      <c r="P259" s="16">
        <v>1.98</v>
      </c>
      <c r="Q259" s="16">
        <v>0.96</v>
      </c>
      <c r="R259" s="16">
        <v>1.02</v>
      </c>
      <c r="S259" s="15" t="s">
        <v>43</v>
      </c>
      <c r="T259" s="15" t="s">
        <v>63</v>
      </c>
      <c r="U259" s="17">
        <v>3</v>
      </c>
    </row>
    <row r="260" spans="1:21" x14ac:dyDescent="0.8">
      <c r="A260" s="13" t="s">
        <v>389</v>
      </c>
      <c r="B260" s="14">
        <v>45573</v>
      </c>
      <c r="C260" s="15" t="s">
        <v>81</v>
      </c>
      <c r="D260" s="15" t="s">
        <v>47</v>
      </c>
      <c r="E260" s="15" t="s">
        <v>58</v>
      </c>
      <c r="F260" s="15" t="s">
        <v>59</v>
      </c>
      <c r="G260" s="15" t="s">
        <v>60</v>
      </c>
      <c r="H260" s="15" t="s">
        <v>39</v>
      </c>
      <c r="I260" s="15" t="s">
        <v>40</v>
      </c>
      <c r="J260" s="15" t="s">
        <v>61</v>
      </c>
      <c r="K260" s="15" t="s">
        <v>62</v>
      </c>
      <c r="L260" s="15">
        <v>1</v>
      </c>
      <c r="M260" s="16">
        <v>10.24</v>
      </c>
      <c r="N260" s="16">
        <v>10.24</v>
      </c>
      <c r="O260" s="16">
        <v>0</v>
      </c>
      <c r="P260" s="16">
        <v>10.24</v>
      </c>
      <c r="Q260" s="16">
        <v>5.6</v>
      </c>
      <c r="R260" s="16">
        <v>4.6399999999999997</v>
      </c>
      <c r="S260" s="15" t="s">
        <v>43</v>
      </c>
      <c r="T260" s="15" t="s">
        <v>55</v>
      </c>
      <c r="U260" s="17">
        <v>3</v>
      </c>
    </row>
    <row r="261" spans="1:21" x14ac:dyDescent="0.8">
      <c r="A261" s="13" t="s">
        <v>390</v>
      </c>
      <c r="B261" s="14">
        <v>45573</v>
      </c>
      <c r="C261" s="15" t="s">
        <v>81</v>
      </c>
      <c r="D261" s="15" t="s">
        <v>70</v>
      </c>
      <c r="E261" s="15" t="s">
        <v>82</v>
      </c>
      <c r="F261" s="15" t="s">
        <v>83</v>
      </c>
      <c r="G261" s="15" t="s">
        <v>84</v>
      </c>
      <c r="H261" s="15" t="s">
        <v>39</v>
      </c>
      <c r="I261" s="15" t="s">
        <v>85</v>
      </c>
      <c r="J261" s="15" t="s">
        <v>100</v>
      </c>
      <c r="K261" s="15" t="s">
        <v>215</v>
      </c>
      <c r="L261" s="15">
        <v>5</v>
      </c>
      <c r="M261" s="16">
        <v>8.15</v>
      </c>
      <c r="N261" s="16">
        <v>40.75</v>
      </c>
      <c r="O261" s="16">
        <v>8.15</v>
      </c>
      <c r="P261" s="16">
        <v>32.6</v>
      </c>
      <c r="Q261" s="16">
        <v>17.45</v>
      </c>
      <c r="R261" s="16">
        <v>15.15</v>
      </c>
      <c r="S261" s="15" t="s">
        <v>93</v>
      </c>
      <c r="T261" s="15" t="s">
        <v>44</v>
      </c>
      <c r="U261" s="17">
        <v>4</v>
      </c>
    </row>
    <row r="262" spans="1:21" x14ac:dyDescent="0.8">
      <c r="A262" s="13" t="s">
        <v>391</v>
      </c>
      <c r="B262" s="14">
        <v>45573</v>
      </c>
      <c r="C262" s="15" t="s">
        <v>81</v>
      </c>
      <c r="D262" s="15" t="s">
        <v>70</v>
      </c>
      <c r="E262" s="15" t="s">
        <v>163</v>
      </c>
      <c r="F262" s="15" t="s">
        <v>164</v>
      </c>
      <c r="G262" s="15" t="s">
        <v>165</v>
      </c>
      <c r="H262" s="15" t="s">
        <v>39</v>
      </c>
      <c r="I262" s="15" t="s">
        <v>85</v>
      </c>
      <c r="J262" s="15" t="s">
        <v>66</v>
      </c>
      <c r="K262" s="15" t="s">
        <v>183</v>
      </c>
      <c r="L262" s="15">
        <v>1</v>
      </c>
      <c r="M262" s="16">
        <v>1.47</v>
      </c>
      <c r="N262" s="16">
        <v>1.47</v>
      </c>
      <c r="O262" s="16">
        <v>0</v>
      </c>
      <c r="P262" s="16">
        <v>1.47</v>
      </c>
      <c r="Q262" s="16">
        <v>0.56999999999999995</v>
      </c>
      <c r="R262" s="16">
        <v>0.9</v>
      </c>
      <c r="S262" s="15" t="s">
        <v>102</v>
      </c>
      <c r="T262" s="15" t="s">
        <v>73</v>
      </c>
      <c r="U262" s="17">
        <v>5</v>
      </c>
    </row>
    <row r="263" spans="1:21" x14ac:dyDescent="0.8">
      <c r="A263" s="13" t="s">
        <v>392</v>
      </c>
      <c r="B263" s="14">
        <v>45574</v>
      </c>
      <c r="C263" s="15" t="s">
        <v>34</v>
      </c>
      <c r="D263" s="15" t="s">
        <v>47</v>
      </c>
      <c r="E263" s="15" t="s">
        <v>163</v>
      </c>
      <c r="F263" s="15" t="s">
        <v>164</v>
      </c>
      <c r="G263" s="15" t="s">
        <v>165</v>
      </c>
      <c r="H263" s="15" t="s">
        <v>39</v>
      </c>
      <c r="I263" s="15" t="s">
        <v>85</v>
      </c>
      <c r="J263" s="15" t="s">
        <v>66</v>
      </c>
      <c r="K263" s="15" t="s">
        <v>67</v>
      </c>
      <c r="L263" s="15">
        <v>2</v>
      </c>
      <c r="M263" s="16">
        <v>1.02</v>
      </c>
      <c r="N263" s="16">
        <v>2.04</v>
      </c>
      <c r="O263" s="16">
        <v>0.2</v>
      </c>
      <c r="P263" s="16">
        <v>1.84</v>
      </c>
      <c r="Q263" s="16">
        <v>0.87</v>
      </c>
      <c r="R263" s="16">
        <v>0.97</v>
      </c>
      <c r="S263" s="15" t="s">
        <v>43</v>
      </c>
      <c r="T263" s="15" t="s">
        <v>63</v>
      </c>
      <c r="U263" s="17">
        <v>4</v>
      </c>
    </row>
    <row r="264" spans="1:21" x14ac:dyDescent="0.8">
      <c r="A264" s="13" t="s">
        <v>393</v>
      </c>
      <c r="B264" s="14">
        <v>45575</v>
      </c>
      <c r="C264" s="15" t="s">
        <v>46</v>
      </c>
      <c r="D264" s="15" t="s">
        <v>70</v>
      </c>
      <c r="E264" s="15" t="s">
        <v>76</v>
      </c>
      <c r="F264" s="15" t="s">
        <v>77</v>
      </c>
      <c r="G264" s="15" t="s">
        <v>38</v>
      </c>
      <c r="H264" s="15" t="s">
        <v>39</v>
      </c>
      <c r="I264" s="15" t="s">
        <v>40</v>
      </c>
      <c r="J264" s="15" t="s">
        <v>66</v>
      </c>
      <c r="K264" s="15" t="s">
        <v>95</v>
      </c>
      <c r="L264" s="15">
        <v>2</v>
      </c>
      <c r="M264" s="16">
        <v>2.02</v>
      </c>
      <c r="N264" s="16">
        <v>4.04</v>
      </c>
      <c r="O264" s="16">
        <v>0</v>
      </c>
      <c r="P264" s="16">
        <v>4.04</v>
      </c>
      <c r="Q264" s="16">
        <v>1.93</v>
      </c>
      <c r="R264" s="16">
        <v>2.11</v>
      </c>
      <c r="S264" s="15" t="s">
        <v>123</v>
      </c>
      <c r="T264" s="15" t="s">
        <v>87</v>
      </c>
      <c r="U264" s="17">
        <v>4</v>
      </c>
    </row>
    <row r="265" spans="1:21" x14ac:dyDescent="0.8">
      <c r="A265" s="13" t="s">
        <v>394</v>
      </c>
      <c r="B265" s="14">
        <v>45576</v>
      </c>
      <c r="C265" s="15" t="s">
        <v>57</v>
      </c>
      <c r="D265" s="15" t="s">
        <v>47</v>
      </c>
      <c r="E265" s="15" t="s">
        <v>48</v>
      </c>
      <c r="F265" s="15" t="s">
        <v>49</v>
      </c>
      <c r="G265" s="15" t="s">
        <v>50</v>
      </c>
      <c r="H265" s="15" t="s">
        <v>39</v>
      </c>
      <c r="I265" s="15" t="s">
        <v>51</v>
      </c>
      <c r="J265" s="15" t="s">
        <v>41</v>
      </c>
      <c r="K265" s="15" t="s">
        <v>109</v>
      </c>
      <c r="L265" s="15">
        <v>1</v>
      </c>
      <c r="M265" s="16">
        <v>2.56</v>
      </c>
      <c r="N265" s="16">
        <v>2.56</v>
      </c>
      <c r="O265" s="16">
        <v>0.13</v>
      </c>
      <c r="P265" s="16">
        <v>2.4300000000000002</v>
      </c>
      <c r="Q265" s="16">
        <v>1.1100000000000001</v>
      </c>
      <c r="R265" s="16">
        <v>1.32</v>
      </c>
      <c r="S265" s="15" t="s">
        <v>54</v>
      </c>
      <c r="T265" s="15" t="s">
        <v>55</v>
      </c>
      <c r="U265" s="17">
        <v>2</v>
      </c>
    </row>
    <row r="266" spans="1:21" x14ac:dyDescent="0.8">
      <c r="A266" s="13" t="s">
        <v>395</v>
      </c>
      <c r="B266" s="14">
        <v>45577</v>
      </c>
      <c r="C266" s="15" t="s">
        <v>69</v>
      </c>
      <c r="D266" s="15" t="s">
        <v>65</v>
      </c>
      <c r="E266" s="15" t="s">
        <v>114</v>
      </c>
      <c r="F266" s="15" t="s">
        <v>115</v>
      </c>
      <c r="G266" s="15" t="s">
        <v>116</v>
      </c>
      <c r="H266" s="15" t="s">
        <v>39</v>
      </c>
      <c r="I266" s="15" t="s">
        <v>51</v>
      </c>
      <c r="J266" s="15" t="s">
        <v>66</v>
      </c>
      <c r="K266" s="15" t="s">
        <v>95</v>
      </c>
      <c r="L266" s="15">
        <v>3</v>
      </c>
      <c r="M266" s="16">
        <v>2.0099999999999998</v>
      </c>
      <c r="N266" s="16">
        <v>6.03</v>
      </c>
      <c r="O266" s="16">
        <v>0.9</v>
      </c>
      <c r="P266" s="16">
        <v>5.13</v>
      </c>
      <c r="Q266" s="16">
        <v>2.69</v>
      </c>
      <c r="R266" s="16">
        <v>2.44</v>
      </c>
      <c r="S266" s="15" t="s">
        <v>123</v>
      </c>
      <c r="T266" s="15" t="s">
        <v>144</v>
      </c>
      <c r="U266" s="17">
        <v>5</v>
      </c>
    </row>
    <row r="267" spans="1:21" x14ac:dyDescent="0.8">
      <c r="A267" s="13" t="s">
        <v>396</v>
      </c>
      <c r="B267" s="14">
        <v>45580</v>
      </c>
      <c r="C267" s="15" t="s">
        <v>81</v>
      </c>
      <c r="D267" s="15" t="s">
        <v>35</v>
      </c>
      <c r="E267" s="15" t="s">
        <v>82</v>
      </c>
      <c r="F267" s="15" t="s">
        <v>83</v>
      </c>
      <c r="G267" s="15" t="s">
        <v>84</v>
      </c>
      <c r="H267" s="15" t="s">
        <v>39</v>
      </c>
      <c r="I267" s="15" t="s">
        <v>85</v>
      </c>
      <c r="J267" s="15" t="s">
        <v>100</v>
      </c>
      <c r="K267" s="15" t="s">
        <v>243</v>
      </c>
      <c r="L267" s="15">
        <v>1</v>
      </c>
      <c r="M267" s="16">
        <v>5.61</v>
      </c>
      <c r="N267" s="16">
        <v>5.61</v>
      </c>
      <c r="O267" s="16">
        <v>0.84</v>
      </c>
      <c r="P267" s="16">
        <v>4.7699999999999996</v>
      </c>
      <c r="Q267" s="16">
        <v>2.5099999999999998</v>
      </c>
      <c r="R267" s="16">
        <v>2.2599999999999998</v>
      </c>
      <c r="S267" s="15" t="s">
        <v>93</v>
      </c>
      <c r="T267" s="15" t="s">
        <v>55</v>
      </c>
      <c r="U267" s="17">
        <v>3</v>
      </c>
    </row>
    <row r="268" spans="1:21" x14ac:dyDescent="0.8">
      <c r="A268" s="13" t="s">
        <v>397</v>
      </c>
      <c r="B268" s="14">
        <v>45580</v>
      </c>
      <c r="C268" s="15" t="s">
        <v>81</v>
      </c>
      <c r="D268" s="15" t="s">
        <v>47</v>
      </c>
      <c r="E268" s="15" t="s">
        <v>76</v>
      </c>
      <c r="F268" s="15" t="s">
        <v>77</v>
      </c>
      <c r="G268" s="15" t="s">
        <v>38</v>
      </c>
      <c r="H268" s="15" t="s">
        <v>39</v>
      </c>
      <c r="I268" s="15" t="s">
        <v>40</v>
      </c>
      <c r="J268" s="15" t="s">
        <v>61</v>
      </c>
      <c r="K268" s="15" t="s">
        <v>121</v>
      </c>
      <c r="L268" s="15">
        <v>3</v>
      </c>
      <c r="M268" s="16">
        <v>9.67</v>
      </c>
      <c r="N268" s="16">
        <v>29.01</v>
      </c>
      <c r="O268" s="16">
        <v>5.8</v>
      </c>
      <c r="P268" s="16">
        <v>23.21</v>
      </c>
      <c r="Q268" s="16">
        <v>10.64</v>
      </c>
      <c r="R268" s="16">
        <v>12.57</v>
      </c>
      <c r="S268" s="15" t="s">
        <v>93</v>
      </c>
      <c r="T268" s="15" t="s">
        <v>63</v>
      </c>
      <c r="U268" s="17">
        <v>3</v>
      </c>
    </row>
    <row r="269" spans="1:21" x14ac:dyDescent="0.8">
      <c r="A269" s="13" t="s">
        <v>398</v>
      </c>
      <c r="B269" s="14">
        <v>45581</v>
      </c>
      <c r="C269" s="15" t="s">
        <v>34</v>
      </c>
      <c r="D269" s="15" t="s">
        <v>70</v>
      </c>
      <c r="E269" s="15" t="s">
        <v>36</v>
      </c>
      <c r="F269" s="15" t="s">
        <v>37</v>
      </c>
      <c r="G269" s="15" t="s">
        <v>38</v>
      </c>
      <c r="H269" s="15" t="s">
        <v>39</v>
      </c>
      <c r="I269" s="15" t="s">
        <v>40</v>
      </c>
      <c r="J269" s="15" t="s">
        <v>52</v>
      </c>
      <c r="K269" s="15" t="s">
        <v>71</v>
      </c>
      <c r="L269" s="15">
        <v>2</v>
      </c>
      <c r="M269" s="16">
        <v>4.04</v>
      </c>
      <c r="N269" s="16">
        <v>8.08</v>
      </c>
      <c r="O269" s="16">
        <v>0.4</v>
      </c>
      <c r="P269" s="16">
        <v>7.68</v>
      </c>
      <c r="Q269" s="16">
        <v>3.35</v>
      </c>
      <c r="R269" s="16">
        <v>4.33</v>
      </c>
      <c r="S269" s="15" t="s">
        <v>54</v>
      </c>
      <c r="T269" s="15" t="s">
        <v>44</v>
      </c>
      <c r="U269" s="17">
        <v>4</v>
      </c>
    </row>
    <row r="270" spans="1:21" x14ac:dyDescent="0.8">
      <c r="A270" s="13" t="s">
        <v>399</v>
      </c>
      <c r="B270" s="14">
        <v>45581</v>
      </c>
      <c r="C270" s="15" t="s">
        <v>34</v>
      </c>
      <c r="D270" s="15" t="s">
        <v>65</v>
      </c>
      <c r="E270" s="15" t="s">
        <v>82</v>
      </c>
      <c r="F270" s="15" t="s">
        <v>83</v>
      </c>
      <c r="G270" s="15" t="s">
        <v>84</v>
      </c>
      <c r="H270" s="15" t="s">
        <v>39</v>
      </c>
      <c r="I270" s="15" t="s">
        <v>85</v>
      </c>
      <c r="J270" s="15" t="s">
        <v>78</v>
      </c>
      <c r="K270" s="15" t="s">
        <v>79</v>
      </c>
      <c r="L270" s="15">
        <v>1</v>
      </c>
      <c r="M270" s="16">
        <v>3.4</v>
      </c>
      <c r="N270" s="16">
        <v>3.4</v>
      </c>
      <c r="O270" s="16">
        <v>0</v>
      </c>
      <c r="P270" s="16">
        <v>3.4</v>
      </c>
      <c r="Q270" s="16">
        <v>1.41</v>
      </c>
      <c r="R270" s="16">
        <v>1.99</v>
      </c>
      <c r="S270" s="15" t="s">
        <v>54</v>
      </c>
      <c r="T270" s="15" t="s">
        <v>144</v>
      </c>
      <c r="U270" s="17">
        <v>5</v>
      </c>
    </row>
    <row r="271" spans="1:21" x14ac:dyDescent="0.8">
      <c r="A271" s="13" t="s">
        <v>400</v>
      </c>
      <c r="B271" s="14">
        <v>45581</v>
      </c>
      <c r="C271" s="15" t="s">
        <v>34</v>
      </c>
      <c r="D271" s="15" t="s">
        <v>47</v>
      </c>
      <c r="E271" s="15" t="s">
        <v>131</v>
      </c>
      <c r="F271" s="15" t="s">
        <v>132</v>
      </c>
      <c r="G271" s="15" t="s">
        <v>133</v>
      </c>
      <c r="H271" s="15" t="s">
        <v>39</v>
      </c>
      <c r="I271" s="15" t="s">
        <v>134</v>
      </c>
      <c r="J271" s="15" t="s">
        <v>66</v>
      </c>
      <c r="K271" s="15" t="s">
        <v>95</v>
      </c>
      <c r="L271" s="15">
        <v>1</v>
      </c>
      <c r="M271" s="16">
        <v>1.94</v>
      </c>
      <c r="N271" s="16">
        <v>1.94</v>
      </c>
      <c r="O271" s="16">
        <v>0</v>
      </c>
      <c r="P271" s="16">
        <v>1.94</v>
      </c>
      <c r="Q271" s="16">
        <v>0.8</v>
      </c>
      <c r="R271" s="16">
        <v>1.1399999999999999</v>
      </c>
      <c r="S271" s="15" t="s">
        <v>123</v>
      </c>
      <c r="T271" s="15" t="s">
        <v>87</v>
      </c>
      <c r="U271" s="17">
        <v>4</v>
      </c>
    </row>
    <row r="272" spans="1:21" x14ac:dyDescent="0.8">
      <c r="A272" s="13" t="s">
        <v>401</v>
      </c>
      <c r="B272" s="14">
        <v>45581</v>
      </c>
      <c r="C272" s="15" t="s">
        <v>34</v>
      </c>
      <c r="D272" s="15" t="s">
        <v>70</v>
      </c>
      <c r="E272" s="15" t="s">
        <v>48</v>
      </c>
      <c r="F272" s="15" t="s">
        <v>49</v>
      </c>
      <c r="G272" s="15" t="s">
        <v>50</v>
      </c>
      <c r="H272" s="15" t="s">
        <v>39</v>
      </c>
      <c r="I272" s="15" t="s">
        <v>51</v>
      </c>
      <c r="J272" s="15" t="s">
        <v>66</v>
      </c>
      <c r="K272" s="15" t="s">
        <v>107</v>
      </c>
      <c r="L272" s="15">
        <v>1</v>
      </c>
      <c r="M272" s="16">
        <v>3.82</v>
      </c>
      <c r="N272" s="16">
        <v>3.82</v>
      </c>
      <c r="O272" s="16">
        <v>0.38</v>
      </c>
      <c r="P272" s="16">
        <v>3.44</v>
      </c>
      <c r="Q272" s="16">
        <v>1.22</v>
      </c>
      <c r="R272" s="16">
        <v>2.2200000000000002</v>
      </c>
      <c r="S272" s="15" t="s">
        <v>93</v>
      </c>
      <c r="T272" s="15" t="s">
        <v>63</v>
      </c>
      <c r="U272" s="17">
        <v>1</v>
      </c>
    </row>
    <row r="273" spans="1:21" x14ac:dyDescent="0.8">
      <c r="A273" s="13" t="s">
        <v>402</v>
      </c>
      <c r="B273" s="14">
        <v>45582</v>
      </c>
      <c r="C273" s="15" t="s">
        <v>46</v>
      </c>
      <c r="D273" s="15" t="s">
        <v>70</v>
      </c>
      <c r="E273" s="15" t="s">
        <v>131</v>
      </c>
      <c r="F273" s="15" t="s">
        <v>132</v>
      </c>
      <c r="G273" s="15" t="s">
        <v>133</v>
      </c>
      <c r="H273" s="15" t="s">
        <v>39</v>
      </c>
      <c r="I273" s="15" t="s">
        <v>134</v>
      </c>
      <c r="J273" s="15" t="s">
        <v>100</v>
      </c>
      <c r="K273" s="15" t="s">
        <v>185</v>
      </c>
      <c r="L273" s="15">
        <v>1</v>
      </c>
      <c r="M273" s="16">
        <v>6.59</v>
      </c>
      <c r="N273" s="16">
        <v>6.59</v>
      </c>
      <c r="O273" s="16">
        <v>0</v>
      </c>
      <c r="P273" s="16">
        <v>6.59</v>
      </c>
      <c r="Q273" s="16">
        <v>2.41</v>
      </c>
      <c r="R273" s="16">
        <v>4.18</v>
      </c>
      <c r="S273" s="15" t="s">
        <v>72</v>
      </c>
      <c r="T273" s="15" t="s">
        <v>73</v>
      </c>
      <c r="U273" s="17">
        <v>4</v>
      </c>
    </row>
    <row r="274" spans="1:21" x14ac:dyDescent="0.8">
      <c r="A274" s="13" t="s">
        <v>403</v>
      </c>
      <c r="B274" s="14">
        <v>45582</v>
      </c>
      <c r="C274" s="15" t="s">
        <v>46</v>
      </c>
      <c r="D274" s="15" t="s">
        <v>65</v>
      </c>
      <c r="E274" s="15" t="s">
        <v>36</v>
      </c>
      <c r="F274" s="15" t="s">
        <v>37</v>
      </c>
      <c r="G274" s="15" t="s">
        <v>38</v>
      </c>
      <c r="H274" s="15" t="s">
        <v>39</v>
      </c>
      <c r="I274" s="15" t="s">
        <v>40</v>
      </c>
      <c r="J274" s="15" t="s">
        <v>41</v>
      </c>
      <c r="K274" s="15" t="s">
        <v>125</v>
      </c>
      <c r="L274" s="15">
        <v>4</v>
      </c>
      <c r="M274" s="16">
        <v>2.86</v>
      </c>
      <c r="N274" s="16">
        <v>11.44</v>
      </c>
      <c r="O274" s="16">
        <v>1.1399999999999999</v>
      </c>
      <c r="P274" s="16">
        <v>10.3</v>
      </c>
      <c r="Q274" s="16">
        <v>4.67</v>
      </c>
      <c r="R274" s="16">
        <v>5.63</v>
      </c>
      <c r="S274" s="15" t="s">
        <v>102</v>
      </c>
      <c r="T274" s="15" t="s">
        <v>63</v>
      </c>
      <c r="U274" s="17">
        <v>3</v>
      </c>
    </row>
    <row r="275" spans="1:21" x14ac:dyDescent="0.8">
      <c r="A275" s="13" t="s">
        <v>404</v>
      </c>
      <c r="B275" s="14">
        <v>45583</v>
      </c>
      <c r="C275" s="15" t="s">
        <v>57</v>
      </c>
      <c r="D275" s="15" t="s">
        <v>65</v>
      </c>
      <c r="E275" s="15" t="s">
        <v>36</v>
      </c>
      <c r="F275" s="15" t="s">
        <v>37</v>
      </c>
      <c r="G275" s="15" t="s">
        <v>38</v>
      </c>
      <c r="H275" s="15" t="s">
        <v>39</v>
      </c>
      <c r="I275" s="15" t="s">
        <v>40</v>
      </c>
      <c r="J275" s="15" t="s">
        <v>61</v>
      </c>
      <c r="K275" s="15" t="s">
        <v>62</v>
      </c>
      <c r="L275" s="15">
        <v>2</v>
      </c>
      <c r="M275" s="16">
        <v>10.44</v>
      </c>
      <c r="N275" s="16">
        <v>20.88</v>
      </c>
      <c r="O275" s="16">
        <v>1.04</v>
      </c>
      <c r="P275" s="16">
        <v>19.84</v>
      </c>
      <c r="Q275" s="16">
        <v>9.02</v>
      </c>
      <c r="R275" s="16">
        <v>10.82</v>
      </c>
      <c r="S275" s="15" t="s">
        <v>123</v>
      </c>
      <c r="T275" s="15" t="s">
        <v>44</v>
      </c>
      <c r="U275" s="17">
        <v>5</v>
      </c>
    </row>
    <row r="276" spans="1:21" x14ac:dyDescent="0.8">
      <c r="A276" s="13" t="s">
        <v>405</v>
      </c>
      <c r="B276" s="14">
        <v>45584</v>
      </c>
      <c r="C276" s="15" t="s">
        <v>69</v>
      </c>
      <c r="D276" s="15" t="s">
        <v>47</v>
      </c>
      <c r="E276" s="15" t="s">
        <v>48</v>
      </c>
      <c r="F276" s="15" t="s">
        <v>49</v>
      </c>
      <c r="G276" s="15" t="s">
        <v>50</v>
      </c>
      <c r="H276" s="15" t="s">
        <v>39</v>
      </c>
      <c r="I276" s="15" t="s">
        <v>51</v>
      </c>
      <c r="J276" s="15" t="s">
        <v>78</v>
      </c>
      <c r="K276" s="15" t="s">
        <v>138</v>
      </c>
      <c r="L276" s="15">
        <v>3</v>
      </c>
      <c r="M276" s="16">
        <v>4.49</v>
      </c>
      <c r="N276" s="16">
        <v>13.47</v>
      </c>
      <c r="O276" s="16">
        <v>0</v>
      </c>
      <c r="P276" s="16">
        <v>13.47</v>
      </c>
      <c r="Q276" s="16">
        <v>5.15</v>
      </c>
      <c r="R276" s="16">
        <v>8.32</v>
      </c>
      <c r="S276" s="15" t="s">
        <v>93</v>
      </c>
      <c r="T276" s="15" t="s">
        <v>87</v>
      </c>
      <c r="U276" s="17">
        <v>5</v>
      </c>
    </row>
    <row r="277" spans="1:21" x14ac:dyDescent="0.8">
      <c r="A277" s="13" t="s">
        <v>406</v>
      </c>
      <c r="B277" s="14">
        <v>45584</v>
      </c>
      <c r="C277" s="15" t="s">
        <v>69</v>
      </c>
      <c r="D277" s="15" t="s">
        <v>65</v>
      </c>
      <c r="E277" s="15" t="s">
        <v>114</v>
      </c>
      <c r="F277" s="15" t="s">
        <v>115</v>
      </c>
      <c r="G277" s="15" t="s">
        <v>116</v>
      </c>
      <c r="H277" s="15" t="s">
        <v>39</v>
      </c>
      <c r="I277" s="15" t="s">
        <v>51</v>
      </c>
      <c r="J277" s="15" t="s">
        <v>61</v>
      </c>
      <c r="K277" s="15" t="s">
        <v>62</v>
      </c>
      <c r="L277" s="15">
        <v>2</v>
      </c>
      <c r="M277" s="16">
        <v>10.57</v>
      </c>
      <c r="N277" s="16">
        <v>21.14</v>
      </c>
      <c r="O277" s="16">
        <v>0</v>
      </c>
      <c r="P277" s="16">
        <v>21.14</v>
      </c>
      <c r="Q277" s="16">
        <v>11.44</v>
      </c>
      <c r="R277" s="16">
        <v>9.6999999999999993</v>
      </c>
      <c r="S277" s="15" t="s">
        <v>72</v>
      </c>
      <c r="T277" s="15" t="s">
        <v>44</v>
      </c>
      <c r="U277" s="17">
        <v>4</v>
      </c>
    </row>
    <row r="278" spans="1:21" x14ac:dyDescent="0.8">
      <c r="A278" s="13" t="s">
        <v>407</v>
      </c>
      <c r="B278" s="14">
        <v>45586</v>
      </c>
      <c r="C278" s="15" t="s">
        <v>75</v>
      </c>
      <c r="D278" s="15" t="s">
        <v>65</v>
      </c>
      <c r="E278" s="15" t="s">
        <v>114</v>
      </c>
      <c r="F278" s="15" t="s">
        <v>115</v>
      </c>
      <c r="G278" s="15" t="s">
        <v>116</v>
      </c>
      <c r="H278" s="15" t="s">
        <v>39</v>
      </c>
      <c r="I278" s="15" t="s">
        <v>51</v>
      </c>
      <c r="J278" s="15" t="s">
        <v>78</v>
      </c>
      <c r="K278" s="15" t="s">
        <v>143</v>
      </c>
      <c r="L278" s="15">
        <v>4</v>
      </c>
      <c r="M278" s="16">
        <v>2.76</v>
      </c>
      <c r="N278" s="16">
        <v>11.04</v>
      </c>
      <c r="O278" s="16">
        <v>0</v>
      </c>
      <c r="P278" s="16">
        <v>11.04</v>
      </c>
      <c r="Q278" s="16">
        <v>5.83</v>
      </c>
      <c r="R278" s="16">
        <v>5.21</v>
      </c>
      <c r="S278" s="15" t="s">
        <v>72</v>
      </c>
      <c r="T278" s="15" t="s">
        <v>87</v>
      </c>
      <c r="U278" s="17">
        <v>5</v>
      </c>
    </row>
    <row r="279" spans="1:21" x14ac:dyDescent="0.8">
      <c r="A279" s="13" t="s">
        <v>408</v>
      </c>
      <c r="B279" s="14">
        <v>45587</v>
      </c>
      <c r="C279" s="15" t="s">
        <v>81</v>
      </c>
      <c r="D279" s="15" t="s">
        <v>65</v>
      </c>
      <c r="E279" s="15" t="s">
        <v>58</v>
      </c>
      <c r="F279" s="15" t="s">
        <v>59</v>
      </c>
      <c r="G279" s="15" t="s">
        <v>60</v>
      </c>
      <c r="H279" s="15" t="s">
        <v>39</v>
      </c>
      <c r="I279" s="15" t="s">
        <v>40</v>
      </c>
      <c r="J279" s="15" t="s">
        <v>52</v>
      </c>
      <c r="K279" s="15" t="s">
        <v>53</v>
      </c>
      <c r="L279" s="15">
        <v>1</v>
      </c>
      <c r="M279" s="16">
        <v>2.4300000000000002</v>
      </c>
      <c r="N279" s="16">
        <v>2.4300000000000002</v>
      </c>
      <c r="O279" s="16">
        <v>0.24</v>
      </c>
      <c r="P279" s="16">
        <v>2.19</v>
      </c>
      <c r="Q279" s="16">
        <v>1.1000000000000001</v>
      </c>
      <c r="R279" s="16">
        <v>1.0900000000000001</v>
      </c>
      <c r="S279" s="15" t="s">
        <v>72</v>
      </c>
      <c r="T279" s="15" t="s">
        <v>87</v>
      </c>
      <c r="U279" s="17">
        <v>4</v>
      </c>
    </row>
    <row r="280" spans="1:21" x14ac:dyDescent="0.8">
      <c r="A280" s="13" t="s">
        <v>409</v>
      </c>
      <c r="B280" s="14">
        <v>45588</v>
      </c>
      <c r="C280" s="15" t="s">
        <v>34</v>
      </c>
      <c r="D280" s="15" t="s">
        <v>47</v>
      </c>
      <c r="E280" s="15" t="s">
        <v>82</v>
      </c>
      <c r="F280" s="15" t="s">
        <v>83</v>
      </c>
      <c r="G280" s="15" t="s">
        <v>84</v>
      </c>
      <c r="H280" s="15" t="s">
        <v>39</v>
      </c>
      <c r="I280" s="15" t="s">
        <v>85</v>
      </c>
      <c r="J280" s="15" t="s">
        <v>100</v>
      </c>
      <c r="K280" s="15" t="s">
        <v>117</v>
      </c>
      <c r="L280" s="15">
        <v>1</v>
      </c>
      <c r="M280" s="16">
        <v>3.2</v>
      </c>
      <c r="N280" s="16">
        <v>3.2</v>
      </c>
      <c r="O280" s="16">
        <v>0.64</v>
      </c>
      <c r="P280" s="16">
        <v>2.56</v>
      </c>
      <c r="Q280" s="16">
        <v>1.37</v>
      </c>
      <c r="R280" s="16">
        <v>1.19</v>
      </c>
      <c r="S280" s="15" t="s">
        <v>102</v>
      </c>
      <c r="T280" s="15" t="s">
        <v>63</v>
      </c>
      <c r="U280" s="17">
        <v>4</v>
      </c>
    </row>
    <row r="281" spans="1:21" x14ac:dyDescent="0.8">
      <c r="A281" s="13" t="s">
        <v>410</v>
      </c>
      <c r="B281" s="14">
        <v>45592</v>
      </c>
      <c r="C281" s="15" t="s">
        <v>99</v>
      </c>
      <c r="D281" s="15" t="s">
        <v>47</v>
      </c>
      <c r="E281" s="15" t="s">
        <v>89</v>
      </c>
      <c r="F281" s="15" t="s">
        <v>90</v>
      </c>
      <c r="G281" s="15" t="s">
        <v>91</v>
      </c>
      <c r="H281" s="15" t="s">
        <v>39</v>
      </c>
      <c r="I281" s="15" t="s">
        <v>92</v>
      </c>
      <c r="J281" s="15" t="s">
        <v>61</v>
      </c>
      <c r="K281" s="15" t="s">
        <v>161</v>
      </c>
      <c r="L281" s="15">
        <v>2</v>
      </c>
      <c r="M281" s="16">
        <v>10.93</v>
      </c>
      <c r="N281" s="16">
        <v>21.86</v>
      </c>
      <c r="O281" s="16">
        <v>3.28</v>
      </c>
      <c r="P281" s="16">
        <v>18.579999999999998</v>
      </c>
      <c r="Q281" s="16">
        <v>10</v>
      </c>
      <c r="R281" s="16">
        <v>8.58</v>
      </c>
      <c r="S281" s="15" t="s">
        <v>72</v>
      </c>
      <c r="T281" s="15" t="s">
        <v>73</v>
      </c>
      <c r="U281" s="17">
        <v>5</v>
      </c>
    </row>
    <row r="282" spans="1:21" x14ac:dyDescent="0.8">
      <c r="A282" s="13" t="s">
        <v>411</v>
      </c>
      <c r="B282" s="14">
        <v>45593</v>
      </c>
      <c r="C282" s="15" t="s">
        <v>75</v>
      </c>
      <c r="D282" s="15" t="s">
        <v>65</v>
      </c>
      <c r="E282" s="15" t="s">
        <v>163</v>
      </c>
      <c r="F282" s="15" t="s">
        <v>164</v>
      </c>
      <c r="G282" s="15" t="s">
        <v>165</v>
      </c>
      <c r="H282" s="15" t="s">
        <v>39</v>
      </c>
      <c r="I282" s="15" t="s">
        <v>85</v>
      </c>
      <c r="J282" s="15" t="s">
        <v>52</v>
      </c>
      <c r="K282" s="15" t="s">
        <v>169</v>
      </c>
      <c r="L282" s="15">
        <v>2</v>
      </c>
      <c r="M282" s="16">
        <v>2.93</v>
      </c>
      <c r="N282" s="16">
        <v>5.86</v>
      </c>
      <c r="O282" s="16">
        <v>0</v>
      </c>
      <c r="P282" s="16">
        <v>5.86</v>
      </c>
      <c r="Q282" s="16">
        <v>2.29</v>
      </c>
      <c r="R282" s="16">
        <v>3.57</v>
      </c>
      <c r="S282" s="15" t="s">
        <v>93</v>
      </c>
      <c r="T282" s="15" t="s">
        <v>144</v>
      </c>
      <c r="U282" s="17">
        <v>4</v>
      </c>
    </row>
    <row r="283" spans="1:21" x14ac:dyDescent="0.8">
      <c r="A283" s="13" t="s">
        <v>412</v>
      </c>
      <c r="B283" s="14">
        <v>45593</v>
      </c>
      <c r="C283" s="15" t="s">
        <v>75</v>
      </c>
      <c r="D283" s="15" t="s">
        <v>70</v>
      </c>
      <c r="E283" s="15" t="s">
        <v>114</v>
      </c>
      <c r="F283" s="15" t="s">
        <v>115</v>
      </c>
      <c r="G283" s="15" t="s">
        <v>116</v>
      </c>
      <c r="H283" s="15" t="s">
        <v>39</v>
      </c>
      <c r="I283" s="15" t="s">
        <v>51</v>
      </c>
      <c r="J283" s="15" t="s">
        <v>61</v>
      </c>
      <c r="K283" s="15" t="s">
        <v>62</v>
      </c>
      <c r="L283" s="15">
        <v>1</v>
      </c>
      <c r="M283" s="16">
        <v>10.37</v>
      </c>
      <c r="N283" s="16">
        <v>10.37</v>
      </c>
      <c r="O283" s="16">
        <v>0</v>
      </c>
      <c r="P283" s="16">
        <v>10.37</v>
      </c>
      <c r="Q283" s="16">
        <v>4.32</v>
      </c>
      <c r="R283" s="16">
        <v>6.05</v>
      </c>
      <c r="S283" s="15" t="s">
        <v>93</v>
      </c>
      <c r="T283" s="15" t="s">
        <v>144</v>
      </c>
      <c r="U283" s="17">
        <v>5</v>
      </c>
    </row>
    <row r="284" spans="1:21" x14ac:dyDescent="0.8">
      <c r="A284" s="13" t="s">
        <v>413</v>
      </c>
      <c r="B284" s="14">
        <v>45595</v>
      </c>
      <c r="C284" s="15" t="s">
        <v>34</v>
      </c>
      <c r="D284" s="15" t="s">
        <v>35</v>
      </c>
      <c r="E284" s="15" t="s">
        <v>36</v>
      </c>
      <c r="F284" s="15" t="s">
        <v>37</v>
      </c>
      <c r="G284" s="15" t="s">
        <v>38</v>
      </c>
      <c r="H284" s="15" t="s">
        <v>39</v>
      </c>
      <c r="I284" s="15" t="s">
        <v>40</v>
      </c>
      <c r="J284" s="15" t="s">
        <v>100</v>
      </c>
      <c r="K284" s="15" t="s">
        <v>215</v>
      </c>
      <c r="L284" s="15">
        <v>3</v>
      </c>
      <c r="M284" s="16">
        <v>8.16</v>
      </c>
      <c r="N284" s="16">
        <v>24.48</v>
      </c>
      <c r="O284" s="16">
        <v>1.22</v>
      </c>
      <c r="P284" s="16">
        <v>23.26</v>
      </c>
      <c r="Q284" s="16">
        <v>8.6999999999999993</v>
      </c>
      <c r="R284" s="16">
        <v>14.56</v>
      </c>
      <c r="S284" s="15" t="s">
        <v>43</v>
      </c>
      <c r="T284" s="15" t="s">
        <v>144</v>
      </c>
      <c r="U284" s="17">
        <v>4</v>
      </c>
    </row>
    <row r="285" spans="1:21" x14ac:dyDescent="0.8">
      <c r="A285" s="13" t="s">
        <v>414</v>
      </c>
      <c r="B285" s="14">
        <v>45595</v>
      </c>
      <c r="C285" s="15" t="s">
        <v>34</v>
      </c>
      <c r="D285" s="15" t="s">
        <v>65</v>
      </c>
      <c r="E285" s="15" t="s">
        <v>58</v>
      </c>
      <c r="F285" s="15" t="s">
        <v>59</v>
      </c>
      <c r="G285" s="15" t="s">
        <v>60</v>
      </c>
      <c r="H285" s="15" t="s">
        <v>39</v>
      </c>
      <c r="I285" s="15" t="s">
        <v>40</v>
      </c>
      <c r="J285" s="15" t="s">
        <v>66</v>
      </c>
      <c r="K285" s="15" t="s">
        <v>86</v>
      </c>
      <c r="L285" s="15">
        <v>3</v>
      </c>
      <c r="M285" s="16">
        <v>3.7</v>
      </c>
      <c r="N285" s="16">
        <v>11.1</v>
      </c>
      <c r="O285" s="16">
        <v>1.66</v>
      </c>
      <c r="P285" s="16">
        <v>9.44</v>
      </c>
      <c r="Q285" s="16">
        <v>3.76</v>
      </c>
      <c r="R285" s="16">
        <v>5.68</v>
      </c>
      <c r="S285" s="15" t="s">
        <v>72</v>
      </c>
      <c r="T285" s="15" t="s">
        <v>87</v>
      </c>
      <c r="U285" s="17">
        <v>5</v>
      </c>
    </row>
    <row r="286" spans="1:21" x14ac:dyDescent="0.8">
      <c r="A286" s="13" t="s">
        <v>415</v>
      </c>
      <c r="B286" s="14">
        <v>45597</v>
      </c>
      <c r="C286" s="15" t="s">
        <v>57</v>
      </c>
      <c r="D286" s="15" t="s">
        <v>70</v>
      </c>
      <c r="E286" s="15" t="s">
        <v>89</v>
      </c>
      <c r="F286" s="15" t="s">
        <v>90</v>
      </c>
      <c r="G286" s="15" t="s">
        <v>91</v>
      </c>
      <c r="H286" s="15" t="s">
        <v>39</v>
      </c>
      <c r="I286" s="15" t="s">
        <v>92</v>
      </c>
      <c r="J286" s="15" t="s">
        <v>66</v>
      </c>
      <c r="K286" s="15" t="s">
        <v>183</v>
      </c>
      <c r="L286" s="15">
        <v>2</v>
      </c>
      <c r="M286" s="16">
        <v>1.48</v>
      </c>
      <c r="N286" s="16">
        <v>2.96</v>
      </c>
      <c r="O286" s="16">
        <v>0.3</v>
      </c>
      <c r="P286" s="16">
        <v>2.66</v>
      </c>
      <c r="Q286" s="16">
        <v>0.99</v>
      </c>
      <c r="R286" s="16">
        <v>1.67</v>
      </c>
      <c r="S286" s="15" t="s">
        <v>54</v>
      </c>
      <c r="T286" s="15" t="s">
        <v>73</v>
      </c>
      <c r="U286" s="17">
        <v>5</v>
      </c>
    </row>
    <row r="287" spans="1:21" x14ac:dyDescent="0.8">
      <c r="A287" s="13" t="s">
        <v>416</v>
      </c>
      <c r="B287" s="14">
        <v>45597</v>
      </c>
      <c r="C287" s="15" t="s">
        <v>57</v>
      </c>
      <c r="D287" s="15" t="s">
        <v>65</v>
      </c>
      <c r="E287" s="15" t="s">
        <v>104</v>
      </c>
      <c r="F287" s="15" t="s">
        <v>105</v>
      </c>
      <c r="G287" s="15" t="s">
        <v>106</v>
      </c>
      <c r="H287" s="15" t="s">
        <v>39</v>
      </c>
      <c r="I287" s="15" t="s">
        <v>85</v>
      </c>
      <c r="J287" s="15" t="s">
        <v>100</v>
      </c>
      <c r="K287" s="15" t="s">
        <v>101</v>
      </c>
      <c r="L287" s="15">
        <v>1</v>
      </c>
      <c r="M287" s="16">
        <v>3.41</v>
      </c>
      <c r="N287" s="16">
        <v>3.41</v>
      </c>
      <c r="O287" s="16">
        <v>0.17</v>
      </c>
      <c r="P287" s="16">
        <v>3.24</v>
      </c>
      <c r="Q287" s="16">
        <v>1.18</v>
      </c>
      <c r="R287" s="16">
        <v>2.06</v>
      </c>
      <c r="S287" s="15" t="s">
        <v>43</v>
      </c>
      <c r="T287" s="15" t="s">
        <v>44</v>
      </c>
      <c r="U287" s="17">
        <v>3</v>
      </c>
    </row>
    <row r="288" spans="1:21" x14ac:dyDescent="0.8">
      <c r="A288" s="13" t="s">
        <v>417</v>
      </c>
      <c r="B288" s="14">
        <v>45598</v>
      </c>
      <c r="C288" s="15" t="s">
        <v>69</v>
      </c>
      <c r="D288" s="15" t="s">
        <v>70</v>
      </c>
      <c r="E288" s="15" t="s">
        <v>104</v>
      </c>
      <c r="F288" s="15" t="s">
        <v>105</v>
      </c>
      <c r="G288" s="15" t="s">
        <v>106</v>
      </c>
      <c r="H288" s="15" t="s">
        <v>39</v>
      </c>
      <c r="I288" s="15" t="s">
        <v>85</v>
      </c>
      <c r="J288" s="15" t="s">
        <v>41</v>
      </c>
      <c r="K288" s="15" t="s">
        <v>154</v>
      </c>
      <c r="L288" s="15">
        <v>1</v>
      </c>
      <c r="M288" s="16">
        <v>1.48</v>
      </c>
      <c r="N288" s="16">
        <v>1.48</v>
      </c>
      <c r="O288" s="16">
        <v>7.0000000000000007E-2</v>
      </c>
      <c r="P288" s="16">
        <v>1.41</v>
      </c>
      <c r="Q288" s="16">
        <v>0.71</v>
      </c>
      <c r="R288" s="16">
        <v>0.7</v>
      </c>
      <c r="S288" s="15" t="s">
        <v>102</v>
      </c>
      <c r="T288" s="15" t="s">
        <v>44</v>
      </c>
      <c r="U288" s="17">
        <v>5</v>
      </c>
    </row>
    <row r="289" spans="1:21" x14ac:dyDescent="0.8">
      <c r="A289" s="13" t="s">
        <v>418</v>
      </c>
      <c r="B289" s="14">
        <v>45599</v>
      </c>
      <c r="C289" s="15" t="s">
        <v>99</v>
      </c>
      <c r="D289" s="15" t="s">
        <v>70</v>
      </c>
      <c r="E289" s="15" t="s">
        <v>58</v>
      </c>
      <c r="F289" s="15" t="s">
        <v>59</v>
      </c>
      <c r="G289" s="15" t="s">
        <v>60</v>
      </c>
      <c r="H289" s="15" t="s">
        <v>39</v>
      </c>
      <c r="I289" s="15" t="s">
        <v>40</v>
      </c>
      <c r="J289" s="15" t="s">
        <v>66</v>
      </c>
      <c r="K289" s="15" t="s">
        <v>107</v>
      </c>
      <c r="L289" s="15">
        <v>2</v>
      </c>
      <c r="M289" s="16">
        <v>3.72</v>
      </c>
      <c r="N289" s="16">
        <v>7.44</v>
      </c>
      <c r="O289" s="16">
        <v>0.37</v>
      </c>
      <c r="P289" s="16">
        <v>7.07</v>
      </c>
      <c r="Q289" s="16">
        <v>2.79</v>
      </c>
      <c r="R289" s="16">
        <v>4.28</v>
      </c>
      <c r="S289" s="15" t="s">
        <v>102</v>
      </c>
      <c r="T289" s="15" t="s">
        <v>55</v>
      </c>
      <c r="U289" s="17">
        <v>4</v>
      </c>
    </row>
    <row r="290" spans="1:21" x14ac:dyDescent="0.8">
      <c r="A290" s="13" t="s">
        <v>419</v>
      </c>
      <c r="B290" s="14">
        <v>45600</v>
      </c>
      <c r="C290" s="15" t="s">
        <v>75</v>
      </c>
      <c r="D290" s="15" t="s">
        <v>47</v>
      </c>
      <c r="E290" s="15" t="s">
        <v>36</v>
      </c>
      <c r="F290" s="15" t="s">
        <v>37</v>
      </c>
      <c r="G290" s="15" t="s">
        <v>38</v>
      </c>
      <c r="H290" s="15" t="s">
        <v>39</v>
      </c>
      <c r="I290" s="15" t="s">
        <v>40</v>
      </c>
      <c r="J290" s="15" t="s">
        <v>78</v>
      </c>
      <c r="K290" s="15" t="s">
        <v>79</v>
      </c>
      <c r="L290" s="15">
        <v>1</v>
      </c>
      <c r="M290" s="16">
        <v>3.49</v>
      </c>
      <c r="N290" s="16">
        <v>3.49</v>
      </c>
      <c r="O290" s="16">
        <v>0</v>
      </c>
      <c r="P290" s="16">
        <v>3.49</v>
      </c>
      <c r="Q290" s="16">
        <v>1.69</v>
      </c>
      <c r="R290" s="16">
        <v>1.8</v>
      </c>
      <c r="S290" s="15" t="s">
        <v>72</v>
      </c>
      <c r="T290" s="15" t="s">
        <v>73</v>
      </c>
      <c r="U290" s="17">
        <v>5</v>
      </c>
    </row>
    <row r="291" spans="1:21" x14ac:dyDescent="0.8">
      <c r="A291" s="13" t="s">
        <v>420</v>
      </c>
      <c r="B291" s="14">
        <v>45600</v>
      </c>
      <c r="C291" s="15" t="s">
        <v>75</v>
      </c>
      <c r="D291" s="15" t="s">
        <v>65</v>
      </c>
      <c r="E291" s="15" t="s">
        <v>76</v>
      </c>
      <c r="F291" s="15" t="s">
        <v>77</v>
      </c>
      <c r="G291" s="15" t="s">
        <v>38</v>
      </c>
      <c r="H291" s="15" t="s">
        <v>39</v>
      </c>
      <c r="I291" s="15" t="s">
        <v>40</v>
      </c>
      <c r="J291" s="15" t="s">
        <v>52</v>
      </c>
      <c r="K291" s="15" t="s">
        <v>135</v>
      </c>
      <c r="L291" s="15">
        <v>1</v>
      </c>
      <c r="M291" s="16">
        <v>2.02</v>
      </c>
      <c r="N291" s="16">
        <v>2.02</v>
      </c>
      <c r="O291" s="16">
        <v>0</v>
      </c>
      <c r="P291" s="16">
        <v>2.02</v>
      </c>
      <c r="Q291" s="16">
        <v>1.01</v>
      </c>
      <c r="R291" s="16">
        <v>1.01</v>
      </c>
      <c r="S291" s="15" t="s">
        <v>43</v>
      </c>
      <c r="T291" s="15" t="s">
        <v>63</v>
      </c>
      <c r="U291" s="17">
        <v>5</v>
      </c>
    </row>
    <row r="292" spans="1:21" x14ac:dyDescent="0.8">
      <c r="A292" s="13" t="s">
        <v>421</v>
      </c>
      <c r="B292" s="14">
        <v>45602</v>
      </c>
      <c r="C292" s="15" t="s">
        <v>34</v>
      </c>
      <c r="D292" s="15" t="s">
        <v>65</v>
      </c>
      <c r="E292" s="15" t="s">
        <v>163</v>
      </c>
      <c r="F292" s="15" t="s">
        <v>164</v>
      </c>
      <c r="G292" s="15" t="s">
        <v>165</v>
      </c>
      <c r="H292" s="15" t="s">
        <v>39</v>
      </c>
      <c r="I292" s="15" t="s">
        <v>85</v>
      </c>
      <c r="J292" s="15" t="s">
        <v>78</v>
      </c>
      <c r="K292" s="15" t="s">
        <v>97</v>
      </c>
      <c r="L292" s="15">
        <v>4</v>
      </c>
      <c r="M292" s="16">
        <v>3.34</v>
      </c>
      <c r="N292" s="16">
        <v>13.36</v>
      </c>
      <c r="O292" s="16">
        <v>1.34</v>
      </c>
      <c r="P292" s="16">
        <v>12.02</v>
      </c>
      <c r="Q292" s="16">
        <v>6.19</v>
      </c>
      <c r="R292" s="16">
        <v>5.83</v>
      </c>
      <c r="S292" s="15" t="s">
        <v>93</v>
      </c>
      <c r="T292" s="15" t="s">
        <v>73</v>
      </c>
      <c r="U292" s="17">
        <v>5</v>
      </c>
    </row>
    <row r="293" spans="1:21" x14ac:dyDescent="0.8">
      <c r="A293" s="13" t="s">
        <v>422</v>
      </c>
      <c r="B293" s="14">
        <v>45603</v>
      </c>
      <c r="C293" s="15" t="s">
        <v>46</v>
      </c>
      <c r="D293" s="15" t="s">
        <v>35</v>
      </c>
      <c r="E293" s="15" t="s">
        <v>36</v>
      </c>
      <c r="F293" s="15" t="s">
        <v>37</v>
      </c>
      <c r="G293" s="15" t="s">
        <v>38</v>
      </c>
      <c r="H293" s="15" t="s">
        <v>39</v>
      </c>
      <c r="I293" s="15" t="s">
        <v>40</v>
      </c>
      <c r="J293" s="15" t="s">
        <v>66</v>
      </c>
      <c r="K293" s="15" t="s">
        <v>67</v>
      </c>
      <c r="L293" s="15">
        <v>5</v>
      </c>
      <c r="M293" s="16">
        <v>0.99</v>
      </c>
      <c r="N293" s="16">
        <v>4.95</v>
      </c>
      <c r="O293" s="16">
        <v>0</v>
      </c>
      <c r="P293" s="16">
        <v>4.95</v>
      </c>
      <c r="Q293" s="16">
        <v>1.89</v>
      </c>
      <c r="R293" s="16">
        <v>3.06</v>
      </c>
      <c r="S293" s="15" t="s">
        <v>43</v>
      </c>
      <c r="T293" s="15" t="s">
        <v>63</v>
      </c>
      <c r="U293" s="17">
        <v>5</v>
      </c>
    </row>
    <row r="294" spans="1:21" x14ac:dyDescent="0.8">
      <c r="A294" s="13" t="s">
        <v>423</v>
      </c>
      <c r="B294" s="14">
        <v>45607</v>
      </c>
      <c r="C294" s="15" t="s">
        <v>75</v>
      </c>
      <c r="D294" s="15" t="s">
        <v>65</v>
      </c>
      <c r="E294" s="15" t="s">
        <v>131</v>
      </c>
      <c r="F294" s="15" t="s">
        <v>132</v>
      </c>
      <c r="G294" s="15" t="s">
        <v>133</v>
      </c>
      <c r="H294" s="15" t="s">
        <v>39</v>
      </c>
      <c r="I294" s="15" t="s">
        <v>134</v>
      </c>
      <c r="J294" s="15" t="s">
        <v>66</v>
      </c>
      <c r="K294" s="15" t="s">
        <v>183</v>
      </c>
      <c r="L294" s="15">
        <v>2</v>
      </c>
      <c r="M294" s="16">
        <v>1.45</v>
      </c>
      <c r="N294" s="16">
        <v>2.9</v>
      </c>
      <c r="O294" s="16">
        <v>0</v>
      </c>
      <c r="P294" s="16">
        <v>2.9</v>
      </c>
      <c r="Q294" s="16">
        <v>1.26</v>
      </c>
      <c r="R294" s="16">
        <v>1.64</v>
      </c>
      <c r="S294" s="15" t="s">
        <v>43</v>
      </c>
      <c r="T294" s="15" t="s">
        <v>87</v>
      </c>
      <c r="U294" s="17">
        <v>4</v>
      </c>
    </row>
    <row r="295" spans="1:21" x14ac:dyDescent="0.8">
      <c r="A295" s="13" t="s">
        <v>424</v>
      </c>
      <c r="B295" s="14">
        <v>45608</v>
      </c>
      <c r="C295" s="15" t="s">
        <v>81</v>
      </c>
      <c r="D295" s="15" t="s">
        <v>70</v>
      </c>
      <c r="E295" s="15" t="s">
        <v>131</v>
      </c>
      <c r="F295" s="15" t="s">
        <v>132</v>
      </c>
      <c r="G295" s="15" t="s">
        <v>133</v>
      </c>
      <c r="H295" s="15" t="s">
        <v>39</v>
      </c>
      <c r="I295" s="15" t="s">
        <v>134</v>
      </c>
      <c r="J295" s="15" t="s">
        <v>78</v>
      </c>
      <c r="K295" s="15" t="s">
        <v>141</v>
      </c>
      <c r="L295" s="15">
        <v>1</v>
      </c>
      <c r="M295" s="16">
        <v>6.5</v>
      </c>
      <c r="N295" s="16">
        <v>6.5</v>
      </c>
      <c r="O295" s="16">
        <v>0</v>
      </c>
      <c r="P295" s="16">
        <v>6.5</v>
      </c>
      <c r="Q295" s="16">
        <v>2.2999999999999998</v>
      </c>
      <c r="R295" s="16">
        <v>4.2</v>
      </c>
      <c r="S295" s="15" t="s">
        <v>54</v>
      </c>
      <c r="T295" s="15" t="s">
        <v>55</v>
      </c>
      <c r="U295" s="17">
        <v>5</v>
      </c>
    </row>
    <row r="296" spans="1:21" x14ac:dyDescent="0.8">
      <c r="A296" s="13" t="s">
        <v>425</v>
      </c>
      <c r="B296" s="14">
        <v>45608</v>
      </c>
      <c r="C296" s="15" t="s">
        <v>81</v>
      </c>
      <c r="D296" s="15" t="s">
        <v>70</v>
      </c>
      <c r="E296" s="15" t="s">
        <v>76</v>
      </c>
      <c r="F296" s="15" t="s">
        <v>77</v>
      </c>
      <c r="G296" s="15" t="s">
        <v>38</v>
      </c>
      <c r="H296" s="15" t="s">
        <v>39</v>
      </c>
      <c r="I296" s="15" t="s">
        <v>40</v>
      </c>
      <c r="J296" s="15" t="s">
        <v>61</v>
      </c>
      <c r="K296" s="15" t="s">
        <v>119</v>
      </c>
      <c r="L296" s="15">
        <v>1</v>
      </c>
      <c r="M296" s="16">
        <v>6.86</v>
      </c>
      <c r="N296" s="16">
        <v>6.86</v>
      </c>
      <c r="O296" s="16">
        <v>0.34</v>
      </c>
      <c r="P296" s="16">
        <v>6.52</v>
      </c>
      <c r="Q296" s="16">
        <v>3.1</v>
      </c>
      <c r="R296" s="16">
        <v>3.42</v>
      </c>
      <c r="S296" s="15" t="s">
        <v>93</v>
      </c>
      <c r="T296" s="15" t="s">
        <v>73</v>
      </c>
      <c r="U296" s="17">
        <v>2</v>
      </c>
    </row>
    <row r="297" spans="1:21" x14ac:dyDescent="0.8">
      <c r="A297" s="13" t="s">
        <v>426</v>
      </c>
      <c r="B297" s="14">
        <v>45611</v>
      </c>
      <c r="C297" s="15" t="s">
        <v>57</v>
      </c>
      <c r="D297" s="15" t="s">
        <v>65</v>
      </c>
      <c r="E297" s="15" t="s">
        <v>131</v>
      </c>
      <c r="F297" s="15" t="s">
        <v>132</v>
      </c>
      <c r="G297" s="15" t="s">
        <v>133</v>
      </c>
      <c r="H297" s="15" t="s">
        <v>39</v>
      </c>
      <c r="I297" s="15" t="s">
        <v>134</v>
      </c>
      <c r="J297" s="15" t="s">
        <v>66</v>
      </c>
      <c r="K297" s="15" t="s">
        <v>67</v>
      </c>
      <c r="L297" s="15">
        <v>1</v>
      </c>
      <c r="M297" s="16">
        <v>1.02</v>
      </c>
      <c r="N297" s="16">
        <v>1.02</v>
      </c>
      <c r="O297" s="16">
        <v>0</v>
      </c>
      <c r="P297" s="16">
        <v>1.02</v>
      </c>
      <c r="Q297" s="16">
        <v>0.55000000000000004</v>
      </c>
      <c r="R297" s="16">
        <v>0.47</v>
      </c>
      <c r="S297" s="15" t="s">
        <v>43</v>
      </c>
      <c r="T297" s="15" t="s">
        <v>55</v>
      </c>
      <c r="U297" s="17">
        <v>3</v>
      </c>
    </row>
    <row r="298" spans="1:21" x14ac:dyDescent="0.8">
      <c r="A298" s="13" t="s">
        <v>427</v>
      </c>
      <c r="B298" s="14">
        <v>45613</v>
      </c>
      <c r="C298" s="15" t="s">
        <v>99</v>
      </c>
      <c r="D298" s="15" t="s">
        <v>70</v>
      </c>
      <c r="E298" s="15" t="s">
        <v>104</v>
      </c>
      <c r="F298" s="15" t="s">
        <v>105</v>
      </c>
      <c r="G298" s="15" t="s">
        <v>106</v>
      </c>
      <c r="H298" s="15" t="s">
        <v>39</v>
      </c>
      <c r="I298" s="15" t="s">
        <v>85</v>
      </c>
      <c r="J298" s="15" t="s">
        <v>66</v>
      </c>
      <c r="K298" s="15" t="s">
        <v>183</v>
      </c>
      <c r="L298" s="15">
        <v>1</v>
      </c>
      <c r="M298" s="16">
        <v>1.48</v>
      </c>
      <c r="N298" s="16">
        <v>1.48</v>
      </c>
      <c r="O298" s="16">
        <v>0</v>
      </c>
      <c r="P298" s="16">
        <v>1.48</v>
      </c>
      <c r="Q298" s="16">
        <v>0.79</v>
      </c>
      <c r="R298" s="16">
        <v>0.69</v>
      </c>
      <c r="S298" s="15" t="s">
        <v>123</v>
      </c>
      <c r="T298" s="15" t="s">
        <v>73</v>
      </c>
      <c r="U298" s="17">
        <v>3</v>
      </c>
    </row>
    <row r="299" spans="1:21" x14ac:dyDescent="0.8">
      <c r="A299" s="13" t="s">
        <v>428</v>
      </c>
      <c r="B299" s="14">
        <v>45614</v>
      </c>
      <c r="C299" s="15" t="s">
        <v>75</v>
      </c>
      <c r="D299" s="15" t="s">
        <v>47</v>
      </c>
      <c r="E299" s="15" t="s">
        <v>104</v>
      </c>
      <c r="F299" s="15" t="s">
        <v>105</v>
      </c>
      <c r="G299" s="15" t="s">
        <v>106</v>
      </c>
      <c r="H299" s="15" t="s">
        <v>39</v>
      </c>
      <c r="I299" s="15" t="s">
        <v>85</v>
      </c>
      <c r="J299" s="15" t="s">
        <v>61</v>
      </c>
      <c r="K299" s="15" t="s">
        <v>119</v>
      </c>
      <c r="L299" s="15">
        <v>1</v>
      </c>
      <c r="M299" s="16">
        <v>7.06</v>
      </c>
      <c r="N299" s="16">
        <v>7.06</v>
      </c>
      <c r="O299" s="16">
        <v>1.41</v>
      </c>
      <c r="P299" s="16">
        <v>5.65</v>
      </c>
      <c r="Q299" s="16">
        <v>2.63</v>
      </c>
      <c r="R299" s="16">
        <v>3.02</v>
      </c>
      <c r="S299" s="15" t="s">
        <v>93</v>
      </c>
      <c r="T299" s="15" t="s">
        <v>73</v>
      </c>
      <c r="U299" s="17">
        <v>4</v>
      </c>
    </row>
    <row r="300" spans="1:21" x14ac:dyDescent="0.8">
      <c r="A300" s="13" t="s">
        <v>429</v>
      </c>
      <c r="B300" s="14">
        <v>45616</v>
      </c>
      <c r="C300" s="15" t="s">
        <v>34</v>
      </c>
      <c r="D300" s="15" t="s">
        <v>47</v>
      </c>
      <c r="E300" s="15" t="s">
        <v>131</v>
      </c>
      <c r="F300" s="15" t="s">
        <v>132</v>
      </c>
      <c r="G300" s="15" t="s">
        <v>133</v>
      </c>
      <c r="H300" s="15" t="s">
        <v>39</v>
      </c>
      <c r="I300" s="15" t="s">
        <v>134</v>
      </c>
      <c r="J300" s="15" t="s">
        <v>66</v>
      </c>
      <c r="K300" s="15" t="s">
        <v>107</v>
      </c>
      <c r="L300" s="15">
        <v>3</v>
      </c>
      <c r="M300" s="16">
        <v>3.85</v>
      </c>
      <c r="N300" s="16">
        <v>11.55</v>
      </c>
      <c r="O300" s="16">
        <v>0.57999999999999996</v>
      </c>
      <c r="P300" s="16">
        <v>10.97</v>
      </c>
      <c r="Q300" s="16">
        <v>4.33</v>
      </c>
      <c r="R300" s="16">
        <v>6.64</v>
      </c>
      <c r="S300" s="15" t="s">
        <v>93</v>
      </c>
      <c r="T300" s="15" t="s">
        <v>44</v>
      </c>
      <c r="U300" s="17">
        <v>2</v>
      </c>
    </row>
    <row r="301" spans="1:21" x14ac:dyDescent="0.8">
      <c r="A301" s="13" t="s">
        <v>430</v>
      </c>
      <c r="B301" s="14">
        <v>45616</v>
      </c>
      <c r="C301" s="15" t="s">
        <v>34</v>
      </c>
      <c r="D301" s="15" t="s">
        <v>65</v>
      </c>
      <c r="E301" s="15" t="s">
        <v>48</v>
      </c>
      <c r="F301" s="15" t="s">
        <v>49</v>
      </c>
      <c r="G301" s="15" t="s">
        <v>50</v>
      </c>
      <c r="H301" s="15" t="s">
        <v>39</v>
      </c>
      <c r="I301" s="15" t="s">
        <v>51</v>
      </c>
      <c r="J301" s="15" t="s">
        <v>61</v>
      </c>
      <c r="K301" s="15" t="s">
        <v>121</v>
      </c>
      <c r="L301" s="15">
        <v>1</v>
      </c>
      <c r="M301" s="16">
        <v>9.36</v>
      </c>
      <c r="N301" s="16">
        <v>9.36</v>
      </c>
      <c r="O301" s="16">
        <v>0.94</v>
      </c>
      <c r="P301" s="16">
        <v>8.42</v>
      </c>
      <c r="Q301" s="16">
        <v>3.56</v>
      </c>
      <c r="R301" s="16">
        <v>4.8600000000000003</v>
      </c>
      <c r="S301" s="15" t="s">
        <v>43</v>
      </c>
      <c r="T301" s="15" t="s">
        <v>44</v>
      </c>
      <c r="U301" s="17">
        <v>5</v>
      </c>
    </row>
    <row r="302" spans="1:21" x14ac:dyDescent="0.8">
      <c r="A302" s="13" t="s">
        <v>431</v>
      </c>
      <c r="B302" s="14">
        <v>45617</v>
      </c>
      <c r="C302" s="15" t="s">
        <v>46</v>
      </c>
      <c r="D302" s="15" t="s">
        <v>47</v>
      </c>
      <c r="E302" s="15" t="s">
        <v>89</v>
      </c>
      <c r="F302" s="15" t="s">
        <v>90</v>
      </c>
      <c r="G302" s="15" t="s">
        <v>91</v>
      </c>
      <c r="H302" s="15" t="s">
        <v>39</v>
      </c>
      <c r="I302" s="15" t="s">
        <v>92</v>
      </c>
      <c r="J302" s="15" t="s">
        <v>66</v>
      </c>
      <c r="K302" s="15" t="s">
        <v>86</v>
      </c>
      <c r="L302" s="15">
        <v>2</v>
      </c>
      <c r="M302" s="16">
        <v>3.82</v>
      </c>
      <c r="N302" s="16">
        <v>7.64</v>
      </c>
      <c r="O302" s="16">
        <v>0</v>
      </c>
      <c r="P302" s="16">
        <v>7.64</v>
      </c>
      <c r="Q302" s="16">
        <v>3.65</v>
      </c>
      <c r="R302" s="16">
        <v>3.99</v>
      </c>
      <c r="S302" s="15" t="s">
        <v>43</v>
      </c>
      <c r="T302" s="15" t="s">
        <v>87</v>
      </c>
      <c r="U302" s="17">
        <v>3</v>
      </c>
    </row>
    <row r="303" spans="1:21" x14ac:dyDescent="0.8">
      <c r="A303" s="13" t="s">
        <v>432</v>
      </c>
      <c r="B303" s="14">
        <v>45617</v>
      </c>
      <c r="C303" s="15" t="s">
        <v>46</v>
      </c>
      <c r="D303" s="15" t="s">
        <v>65</v>
      </c>
      <c r="E303" s="15" t="s">
        <v>163</v>
      </c>
      <c r="F303" s="15" t="s">
        <v>164</v>
      </c>
      <c r="G303" s="15" t="s">
        <v>165</v>
      </c>
      <c r="H303" s="15" t="s">
        <v>39</v>
      </c>
      <c r="I303" s="15" t="s">
        <v>85</v>
      </c>
      <c r="J303" s="15" t="s">
        <v>41</v>
      </c>
      <c r="K303" s="15" t="s">
        <v>42</v>
      </c>
      <c r="L303" s="15">
        <v>1</v>
      </c>
      <c r="M303" s="16">
        <v>4.54</v>
      </c>
      <c r="N303" s="16">
        <v>4.54</v>
      </c>
      <c r="O303" s="16">
        <v>0.45</v>
      </c>
      <c r="P303" s="16">
        <v>4.09</v>
      </c>
      <c r="Q303" s="16">
        <v>1.99</v>
      </c>
      <c r="R303" s="16">
        <v>2.1</v>
      </c>
      <c r="S303" s="15" t="s">
        <v>102</v>
      </c>
      <c r="T303" s="15" t="s">
        <v>87</v>
      </c>
      <c r="U303" s="17">
        <v>3</v>
      </c>
    </row>
    <row r="304" spans="1:21" x14ac:dyDescent="0.8">
      <c r="A304" s="13" t="s">
        <v>433</v>
      </c>
      <c r="B304" s="14">
        <v>45619</v>
      </c>
      <c r="C304" s="15" t="s">
        <v>69</v>
      </c>
      <c r="D304" s="15" t="s">
        <v>65</v>
      </c>
      <c r="E304" s="15" t="s">
        <v>82</v>
      </c>
      <c r="F304" s="15" t="s">
        <v>83</v>
      </c>
      <c r="G304" s="15" t="s">
        <v>84</v>
      </c>
      <c r="H304" s="15" t="s">
        <v>39</v>
      </c>
      <c r="I304" s="15" t="s">
        <v>85</v>
      </c>
      <c r="J304" s="15" t="s">
        <v>100</v>
      </c>
      <c r="K304" s="15" t="s">
        <v>215</v>
      </c>
      <c r="L304" s="15">
        <v>1</v>
      </c>
      <c r="M304" s="16">
        <v>7.86</v>
      </c>
      <c r="N304" s="16">
        <v>7.86</v>
      </c>
      <c r="O304" s="16">
        <v>0.79</v>
      </c>
      <c r="P304" s="16">
        <v>7.07</v>
      </c>
      <c r="Q304" s="16">
        <v>3.43</v>
      </c>
      <c r="R304" s="16">
        <v>3.64</v>
      </c>
      <c r="S304" s="15" t="s">
        <v>43</v>
      </c>
      <c r="T304" s="15" t="s">
        <v>144</v>
      </c>
      <c r="U304" s="17">
        <v>4</v>
      </c>
    </row>
    <row r="305" spans="1:21" x14ac:dyDescent="0.8">
      <c r="A305" s="13" t="s">
        <v>434</v>
      </c>
      <c r="B305" s="14">
        <v>45620</v>
      </c>
      <c r="C305" s="15" t="s">
        <v>99</v>
      </c>
      <c r="D305" s="15" t="s">
        <v>35</v>
      </c>
      <c r="E305" s="15" t="s">
        <v>89</v>
      </c>
      <c r="F305" s="15" t="s">
        <v>90</v>
      </c>
      <c r="G305" s="15" t="s">
        <v>91</v>
      </c>
      <c r="H305" s="15" t="s">
        <v>39</v>
      </c>
      <c r="I305" s="15" t="s">
        <v>92</v>
      </c>
      <c r="J305" s="15" t="s">
        <v>78</v>
      </c>
      <c r="K305" s="15" t="s">
        <v>79</v>
      </c>
      <c r="L305" s="15">
        <v>1</v>
      </c>
      <c r="M305" s="16">
        <v>3.47</v>
      </c>
      <c r="N305" s="16">
        <v>3.47</v>
      </c>
      <c r="O305" s="16">
        <v>0</v>
      </c>
      <c r="P305" s="16">
        <v>3.47</v>
      </c>
      <c r="Q305" s="16">
        <v>1.25</v>
      </c>
      <c r="R305" s="16">
        <v>2.2200000000000002</v>
      </c>
      <c r="S305" s="15" t="s">
        <v>72</v>
      </c>
      <c r="T305" s="15" t="s">
        <v>63</v>
      </c>
      <c r="U305" s="17">
        <v>3</v>
      </c>
    </row>
    <row r="306" spans="1:21" x14ac:dyDescent="0.8">
      <c r="A306" s="13" t="s">
        <v>435</v>
      </c>
      <c r="B306" s="14">
        <v>45620</v>
      </c>
      <c r="C306" s="15" t="s">
        <v>99</v>
      </c>
      <c r="D306" s="15" t="s">
        <v>47</v>
      </c>
      <c r="E306" s="15" t="s">
        <v>163</v>
      </c>
      <c r="F306" s="15" t="s">
        <v>164</v>
      </c>
      <c r="G306" s="15" t="s">
        <v>165</v>
      </c>
      <c r="H306" s="15" t="s">
        <v>39</v>
      </c>
      <c r="I306" s="15" t="s">
        <v>85</v>
      </c>
      <c r="J306" s="15" t="s">
        <v>100</v>
      </c>
      <c r="K306" s="15" t="s">
        <v>101</v>
      </c>
      <c r="L306" s="15">
        <v>2</v>
      </c>
      <c r="M306" s="16">
        <v>3.48</v>
      </c>
      <c r="N306" s="16">
        <v>6.96</v>
      </c>
      <c r="O306" s="16">
        <v>1.39</v>
      </c>
      <c r="P306" s="16">
        <v>5.57</v>
      </c>
      <c r="Q306" s="16">
        <v>2.93</v>
      </c>
      <c r="R306" s="16">
        <v>2.64</v>
      </c>
      <c r="S306" s="15" t="s">
        <v>123</v>
      </c>
      <c r="T306" s="15" t="s">
        <v>87</v>
      </c>
      <c r="U306" s="17">
        <v>4</v>
      </c>
    </row>
    <row r="307" spans="1:21" x14ac:dyDescent="0.8">
      <c r="A307" s="13" t="s">
        <v>436</v>
      </c>
      <c r="B307" s="14">
        <v>45621</v>
      </c>
      <c r="C307" s="15" t="s">
        <v>75</v>
      </c>
      <c r="D307" s="15" t="s">
        <v>70</v>
      </c>
      <c r="E307" s="15" t="s">
        <v>48</v>
      </c>
      <c r="F307" s="15" t="s">
        <v>49</v>
      </c>
      <c r="G307" s="15" t="s">
        <v>50</v>
      </c>
      <c r="H307" s="15" t="s">
        <v>39</v>
      </c>
      <c r="I307" s="15" t="s">
        <v>51</v>
      </c>
      <c r="J307" s="15" t="s">
        <v>41</v>
      </c>
      <c r="K307" s="15" t="s">
        <v>42</v>
      </c>
      <c r="L307" s="15">
        <v>1</v>
      </c>
      <c r="M307" s="16">
        <v>4.5599999999999996</v>
      </c>
      <c r="N307" s="16">
        <v>4.5599999999999996</v>
      </c>
      <c r="O307" s="16">
        <v>0.23</v>
      </c>
      <c r="P307" s="16">
        <v>4.33</v>
      </c>
      <c r="Q307" s="16">
        <v>2.16</v>
      </c>
      <c r="R307" s="16">
        <v>2.17</v>
      </c>
      <c r="S307" s="15" t="s">
        <v>72</v>
      </c>
      <c r="T307" s="15" t="s">
        <v>87</v>
      </c>
      <c r="U307" s="17">
        <v>4</v>
      </c>
    </row>
    <row r="308" spans="1:21" x14ac:dyDescent="0.8">
      <c r="A308" s="13" t="s">
        <v>437</v>
      </c>
      <c r="B308" s="14">
        <v>45622</v>
      </c>
      <c r="C308" s="15" t="s">
        <v>81</v>
      </c>
      <c r="D308" s="15" t="s">
        <v>35</v>
      </c>
      <c r="E308" s="15" t="s">
        <v>163</v>
      </c>
      <c r="F308" s="15" t="s">
        <v>164</v>
      </c>
      <c r="G308" s="15" t="s">
        <v>165</v>
      </c>
      <c r="H308" s="15" t="s">
        <v>39</v>
      </c>
      <c r="I308" s="15" t="s">
        <v>85</v>
      </c>
      <c r="J308" s="15" t="s">
        <v>100</v>
      </c>
      <c r="K308" s="15" t="s">
        <v>117</v>
      </c>
      <c r="L308" s="15">
        <v>1</v>
      </c>
      <c r="M308" s="16">
        <v>3.38</v>
      </c>
      <c r="N308" s="16">
        <v>3.38</v>
      </c>
      <c r="O308" s="16">
        <v>0.51</v>
      </c>
      <c r="P308" s="16">
        <v>2.87</v>
      </c>
      <c r="Q308" s="16">
        <v>1.48</v>
      </c>
      <c r="R308" s="16">
        <v>1.39</v>
      </c>
      <c r="S308" s="15" t="s">
        <v>102</v>
      </c>
      <c r="T308" s="15" t="s">
        <v>73</v>
      </c>
      <c r="U308" s="17">
        <v>5</v>
      </c>
    </row>
    <row r="309" spans="1:21" x14ac:dyDescent="0.8">
      <c r="A309" s="13" t="s">
        <v>438</v>
      </c>
      <c r="B309" s="14">
        <v>45622</v>
      </c>
      <c r="C309" s="15" t="s">
        <v>81</v>
      </c>
      <c r="D309" s="15" t="s">
        <v>70</v>
      </c>
      <c r="E309" s="15" t="s">
        <v>163</v>
      </c>
      <c r="F309" s="15" t="s">
        <v>164</v>
      </c>
      <c r="G309" s="15" t="s">
        <v>165</v>
      </c>
      <c r="H309" s="15" t="s">
        <v>39</v>
      </c>
      <c r="I309" s="15" t="s">
        <v>85</v>
      </c>
      <c r="J309" s="15" t="s">
        <v>61</v>
      </c>
      <c r="K309" s="15" t="s">
        <v>62</v>
      </c>
      <c r="L309" s="15">
        <v>4</v>
      </c>
      <c r="M309" s="16">
        <v>10.75</v>
      </c>
      <c r="N309" s="16">
        <v>43</v>
      </c>
      <c r="O309" s="16">
        <v>0</v>
      </c>
      <c r="P309" s="16">
        <v>43</v>
      </c>
      <c r="Q309" s="16">
        <v>22.8</v>
      </c>
      <c r="R309" s="16">
        <v>20.2</v>
      </c>
      <c r="S309" s="15" t="s">
        <v>54</v>
      </c>
      <c r="T309" s="15" t="s">
        <v>87</v>
      </c>
      <c r="U309" s="17">
        <v>4</v>
      </c>
    </row>
    <row r="310" spans="1:21" x14ac:dyDescent="0.8">
      <c r="A310" s="13" t="s">
        <v>439</v>
      </c>
      <c r="B310" s="14">
        <v>45622</v>
      </c>
      <c r="C310" s="15" t="s">
        <v>81</v>
      </c>
      <c r="D310" s="15" t="s">
        <v>47</v>
      </c>
      <c r="E310" s="15" t="s">
        <v>76</v>
      </c>
      <c r="F310" s="15" t="s">
        <v>77</v>
      </c>
      <c r="G310" s="15" t="s">
        <v>38</v>
      </c>
      <c r="H310" s="15" t="s">
        <v>39</v>
      </c>
      <c r="I310" s="15" t="s">
        <v>40</v>
      </c>
      <c r="J310" s="15" t="s">
        <v>61</v>
      </c>
      <c r="K310" s="15" t="s">
        <v>121</v>
      </c>
      <c r="L310" s="15">
        <v>2</v>
      </c>
      <c r="M310" s="16">
        <v>9.2899999999999991</v>
      </c>
      <c r="N310" s="16">
        <v>18.579999999999998</v>
      </c>
      <c r="O310" s="16">
        <v>0</v>
      </c>
      <c r="P310" s="16">
        <v>18.579999999999998</v>
      </c>
      <c r="Q310" s="16">
        <v>8.18</v>
      </c>
      <c r="R310" s="16">
        <v>10.4</v>
      </c>
      <c r="S310" s="15" t="s">
        <v>102</v>
      </c>
      <c r="T310" s="15" t="s">
        <v>55</v>
      </c>
      <c r="U310" s="17">
        <v>4</v>
      </c>
    </row>
    <row r="311" spans="1:21" x14ac:dyDescent="0.8">
      <c r="A311" s="13" t="s">
        <v>440</v>
      </c>
      <c r="B311" s="14">
        <v>45625</v>
      </c>
      <c r="C311" s="15" t="s">
        <v>57</v>
      </c>
      <c r="D311" s="15" t="s">
        <v>70</v>
      </c>
      <c r="E311" s="15" t="s">
        <v>76</v>
      </c>
      <c r="F311" s="15" t="s">
        <v>77</v>
      </c>
      <c r="G311" s="15" t="s">
        <v>38</v>
      </c>
      <c r="H311" s="15" t="s">
        <v>39</v>
      </c>
      <c r="I311" s="15" t="s">
        <v>40</v>
      </c>
      <c r="J311" s="15" t="s">
        <v>78</v>
      </c>
      <c r="K311" s="15" t="s">
        <v>143</v>
      </c>
      <c r="L311" s="15">
        <v>1</v>
      </c>
      <c r="M311" s="16">
        <v>2.87</v>
      </c>
      <c r="N311" s="16">
        <v>2.87</v>
      </c>
      <c r="O311" s="16">
        <v>0</v>
      </c>
      <c r="P311" s="16">
        <v>2.87</v>
      </c>
      <c r="Q311" s="16">
        <v>1.06</v>
      </c>
      <c r="R311" s="16">
        <v>1.81</v>
      </c>
      <c r="S311" s="15" t="s">
        <v>72</v>
      </c>
      <c r="T311" s="15" t="s">
        <v>144</v>
      </c>
      <c r="U311" s="17">
        <v>5</v>
      </c>
    </row>
    <row r="312" spans="1:21" x14ac:dyDescent="0.8">
      <c r="A312" s="13" t="s">
        <v>441</v>
      </c>
      <c r="B312" s="14">
        <v>45626</v>
      </c>
      <c r="C312" s="15" t="s">
        <v>69</v>
      </c>
      <c r="D312" s="15" t="s">
        <v>35</v>
      </c>
      <c r="E312" s="15" t="s">
        <v>36</v>
      </c>
      <c r="F312" s="15" t="s">
        <v>37</v>
      </c>
      <c r="G312" s="15" t="s">
        <v>38</v>
      </c>
      <c r="H312" s="15" t="s">
        <v>39</v>
      </c>
      <c r="I312" s="15" t="s">
        <v>40</v>
      </c>
      <c r="J312" s="15" t="s">
        <v>66</v>
      </c>
      <c r="K312" s="15" t="s">
        <v>107</v>
      </c>
      <c r="L312" s="15">
        <v>2</v>
      </c>
      <c r="M312" s="16">
        <v>3.76</v>
      </c>
      <c r="N312" s="16">
        <v>7.52</v>
      </c>
      <c r="O312" s="16">
        <v>0.75</v>
      </c>
      <c r="P312" s="16">
        <v>6.77</v>
      </c>
      <c r="Q312" s="16">
        <v>2.96</v>
      </c>
      <c r="R312" s="16">
        <v>3.81</v>
      </c>
      <c r="S312" s="15" t="s">
        <v>102</v>
      </c>
      <c r="T312" s="15" t="s">
        <v>44</v>
      </c>
      <c r="U312" s="17">
        <v>5</v>
      </c>
    </row>
    <row r="313" spans="1:21" x14ac:dyDescent="0.8">
      <c r="A313" s="13" t="s">
        <v>442</v>
      </c>
      <c r="B313" s="14">
        <v>45627</v>
      </c>
      <c r="C313" s="15" t="s">
        <v>99</v>
      </c>
      <c r="D313" s="15" t="s">
        <v>47</v>
      </c>
      <c r="E313" s="15" t="s">
        <v>48</v>
      </c>
      <c r="F313" s="15" t="s">
        <v>49</v>
      </c>
      <c r="G313" s="15" t="s">
        <v>50</v>
      </c>
      <c r="H313" s="15" t="s">
        <v>39</v>
      </c>
      <c r="I313" s="15" t="s">
        <v>51</v>
      </c>
      <c r="J313" s="15" t="s">
        <v>61</v>
      </c>
      <c r="K313" s="15" t="s">
        <v>119</v>
      </c>
      <c r="L313" s="15">
        <v>1</v>
      </c>
      <c r="M313" s="16">
        <v>6.9</v>
      </c>
      <c r="N313" s="16">
        <v>6.9</v>
      </c>
      <c r="O313" s="16">
        <v>0</v>
      </c>
      <c r="P313" s="16">
        <v>6.9</v>
      </c>
      <c r="Q313" s="16">
        <v>3.25</v>
      </c>
      <c r="R313" s="16">
        <v>3.65</v>
      </c>
      <c r="S313" s="15" t="s">
        <v>54</v>
      </c>
      <c r="T313" s="15" t="s">
        <v>63</v>
      </c>
      <c r="U313" s="17">
        <v>4</v>
      </c>
    </row>
    <row r="314" spans="1:21" x14ac:dyDescent="0.8">
      <c r="A314" s="13" t="s">
        <v>443</v>
      </c>
      <c r="B314" s="14">
        <v>45628</v>
      </c>
      <c r="C314" s="15" t="s">
        <v>75</v>
      </c>
      <c r="D314" s="15" t="s">
        <v>35</v>
      </c>
      <c r="E314" s="15" t="s">
        <v>89</v>
      </c>
      <c r="F314" s="15" t="s">
        <v>90</v>
      </c>
      <c r="G314" s="15" t="s">
        <v>91</v>
      </c>
      <c r="H314" s="15" t="s">
        <v>39</v>
      </c>
      <c r="I314" s="15" t="s">
        <v>92</v>
      </c>
      <c r="J314" s="15" t="s">
        <v>41</v>
      </c>
      <c r="K314" s="15" t="s">
        <v>42</v>
      </c>
      <c r="L314" s="15">
        <v>1</v>
      </c>
      <c r="M314" s="16">
        <v>4.3899999999999997</v>
      </c>
      <c r="N314" s="16">
        <v>4.3899999999999997</v>
      </c>
      <c r="O314" s="16">
        <v>0</v>
      </c>
      <c r="P314" s="16">
        <v>4.3899999999999997</v>
      </c>
      <c r="Q314" s="16">
        <v>2.25</v>
      </c>
      <c r="R314" s="16">
        <v>2.14</v>
      </c>
      <c r="S314" s="15" t="s">
        <v>93</v>
      </c>
      <c r="T314" s="15" t="s">
        <v>73</v>
      </c>
      <c r="U314" s="17">
        <v>5</v>
      </c>
    </row>
    <row r="315" spans="1:21" x14ac:dyDescent="0.8">
      <c r="A315" s="13" t="s">
        <v>444</v>
      </c>
      <c r="B315" s="14">
        <v>45628</v>
      </c>
      <c r="C315" s="15" t="s">
        <v>75</v>
      </c>
      <c r="D315" s="15" t="s">
        <v>47</v>
      </c>
      <c r="E315" s="15" t="s">
        <v>163</v>
      </c>
      <c r="F315" s="15" t="s">
        <v>164</v>
      </c>
      <c r="G315" s="15" t="s">
        <v>165</v>
      </c>
      <c r="H315" s="15" t="s">
        <v>39</v>
      </c>
      <c r="I315" s="15" t="s">
        <v>85</v>
      </c>
      <c r="J315" s="15" t="s">
        <v>41</v>
      </c>
      <c r="K315" s="15" t="s">
        <v>154</v>
      </c>
      <c r="L315" s="15">
        <v>2</v>
      </c>
      <c r="M315" s="16">
        <v>1.5</v>
      </c>
      <c r="N315" s="16">
        <v>3</v>
      </c>
      <c r="O315" s="16">
        <v>0.15</v>
      </c>
      <c r="P315" s="16">
        <v>2.85</v>
      </c>
      <c r="Q315" s="16">
        <v>1.37</v>
      </c>
      <c r="R315" s="16">
        <v>1.48</v>
      </c>
      <c r="S315" s="15" t="s">
        <v>123</v>
      </c>
      <c r="T315" s="15" t="s">
        <v>63</v>
      </c>
      <c r="U315" s="17">
        <v>1</v>
      </c>
    </row>
    <row r="316" spans="1:21" x14ac:dyDescent="0.8">
      <c r="A316" s="13" t="s">
        <v>445</v>
      </c>
      <c r="B316" s="14">
        <v>45628</v>
      </c>
      <c r="C316" s="15" t="s">
        <v>75</v>
      </c>
      <c r="D316" s="15" t="s">
        <v>65</v>
      </c>
      <c r="E316" s="15" t="s">
        <v>114</v>
      </c>
      <c r="F316" s="15" t="s">
        <v>115</v>
      </c>
      <c r="G316" s="15" t="s">
        <v>116</v>
      </c>
      <c r="H316" s="15" t="s">
        <v>39</v>
      </c>
      <c r="I316" s="15" t="s">
        <v>51</v>
      </c>
      <c r="J316" s="15" t="s">
        <v>52</v>
      </c>
      <c r="K316" s="15" t="s">
        <v>71</v>
      </c>
      <c r="L316" s="15">
        <v>1</v>
      </c>
      <c r="M316" s="16">
        <v>4</v>
      </c>
      <c r="N316" s="16">
        <v>4</v>
      </c>
      <c r="O316" s="16">
        <v>0</v>
      </c>
      <c r="P316" s="16">
        <v>4</v>
      </c>
      <c r="Q316" s="16">
        <v>1.79</v>
      </c>
      <c r="R316" s="16">
        <v>2.21</v>
      </c>
      <c r="S316" s="15" t="s">
        <v>102</v>
      </c>
      <c r="T316" s="15" t="s">
        <v>44</v>
      </c>
      <c r="U316" s="17">
        <v>4</v>
      </c>
    </row>
    <row r="317" spans="1:21" x14ac:dyDescent="0.8">
      <c r="A317" s="13" t="s">
        <v>446</v>
      </c>
      <c r="B317" s="14">
        <v>45628</v>
      </c>
      <c r="C317" s="15" t="s">
        <v>75</v>
      </c>
      <c r="D317" s="15" t="s">
        <v>65</v>
      </c>
      <c r="E317" s="15" t="s">
        <v>58</v>
      </c>
      <c r="F317" s="15" t="s">
        <v>59</v>
      </c>
      <c r="G317" s="15" t="s">
        <v>60</v>
      </c>
      <c r="H317" s="15" t="s">
        <v>39</v>
      </c>
      <c r="I317" s="15" t="s">
        <v>40</v>
      </c>
      <c r="J317" s="15" t="s">
        <v>100</v>
      </c>
      <c r="K317" s="15" t="s">
        <v>111</v>
      </c>
      <c r="L317" s="15">
        <v>1</v>
      </c>
      <c r="M317" s="16">
        <v>6.08</v>
      </c>
      <c r="N317" s="16">
        <v>6.08</v>
      </c>
      <c r="O317" s="16">
        <v>0.91</v>
      </c>
      <c r="P317" s="16">
        <v>5.17</v>
      </c>
      <c r="Q317" s="16">
        <v>2.17</v>
      </c>
      <c r="R317" s="16">
        <v>3</v>
      </c>
      <c r="S317" s="15" t="s">
        <v>93</v>
      </c>
      <c r="T317" s="15" t="s">
        <v>44</v>
      </c>
      <c r="U317" s="17">
        <v>5</v>
      </c>
    </row>
    <row r="318" spans="1:21" x14ac:dyDescent="0.8">
      <c r="A318" s="13" t="s">
        <v>447</v>
      </c>
      <c r="B318" s="14">
        <v>45629</v>
      </c>
      <c r="C318" s="15" t="s">
        <v>81</v>
      </c>
      <c r="D318" s="15" t="s">
        <v>70</v>
      </c>
      <c r="E318" s="15" t="s">
        <v>58</v>
      </c>
      <c r="F318" s="15" t="s">
        <v>59</v>
      </c>
      <c r="G318" s="15" t="s">
        <v>60</v>
      </c>
      <c r="H318" s="15" t="s">
        <v>39</v>
      </c>
      <c r="I318" s="15" t="s">
        <v>40</v>
      </c>
      <c r="J318" s="15" t="s">
        <v>41</v>
      </c>
      <c r="K318" s="15" t="s">
        <v>125</v>
      </c>
      <c r="L318" s="15">
        <v>2</v>
      </c>
      <c r="M318" s="16">
        <v>2.74</v>
      </c>
      <c r="N318" s="16">
        <v>5.48</v>
      </c>
      <c r="O318" s="16">
        <v>0</v>
      </c>
      <c r="P318" s="16">
        <v>5.48</v>
      </c>
      <c r="Q318" s="16">
        <v>2.63</v>
      </c>
      <c r="R318" s="16">
        <v>2.85</v>
      </c>
      <c r="S318" s="15" t="s">
        <v>93</v>
      </c>
      <c r="T318" s="15" t="s">
        <v>63</v>
      </c>
      <c r="U318" s="17">
        <v>3</v>
      </c>
    </row>
    <row r="319" spans="1:21" x14ac:dyDescent="0.8">
      <c r="A319" s="13" t="s">
        <v>448</v>
      </c>
      <c r="B319" s="14">
        <v>45629</v>
      </c>
      <c r="C319" s="15" t="s">
        <v>81</v>
      </c>
      <c r="D319" s="15" t="s">
        <v>47</v>
      </c>
      <c r="E319" s="15" t="s">
        <v>89</v>
      </c>
      <c r="F319" s="15" t="s">
        <v>90</v>
      </c>
      <c r="G319" s="15" t="s">
        <v>91</v>
      </c>
      <c r="H319" s="15" t="s">
        <v>39</v>
      </c>
      <c r="I319" s="15" t="s">
        <v>92</v>
      </c>
      <c r="J319" s="15" t="s">
        <v>66</v>
      </c>
      <c r="K319" s="15" t="s">
        <v>183</v>
      </c>
      <c r="L319" s="15">
        <v>2</v>
      </c>
      <c r="M319" s="16">
        <v>1.45</v>
      </c>
      <c r="N319" s="16">
        <v>2.9</v>
      </c>
      <c r="O319" s="16">
        <v>0.57999999999999996</v>
      </c>
      <c r="P319" s="16">
        <v>2.3199999999999998</v>
      </c>
      <c r="Q319" s="16">
        <v>1.21</v>
      </c>
      <c r="R319" s="16">
        <v>1.1100000000000001</v>
      </c>
      <c r="S319" s="15" t="s">
        <v>72</v>
      </c>
      <c r="T319" s="15" t="s">
        <v>73</v>
      </c>
      <c r="U319" s="17">
        <v>4</v>
      </c>
    </row>
    <row r="320" spans="1:21" x14ac:dyDescent="0.8">
      <c r="A320" s="13" t="s">
        <v>449</v>
      </c>
      <c r="B320" s="14">
        <v>45629</v>
      </c>
      <c r="C320" s="15" t="s">
        <v>81</v>
      </c>
      <c r="D320" s="15" t="s">
        <v>70</v>
      </c>
      <c r="E320" s="15" t="s">
        <v>114</v>
      </c>
      <c r="F320" s="15" t="s">
        <v>115</v>
      </c>
      <c r="G320" s="15" t="s">
        <v>116</v>
      </c>
      <c r="H320" s="15" t="s">
        <v>39</v>
      </c>
      <c r="I320" s="15" t="s">
        <v>51</v>
      </c>
      <c r="J320" s="15" t="s">
        <v>66</v>
      </c>
      <c r="K320" s="15" t="s">
        <v>107</v>
      </c>
      <c r="L320" s="15">
        <v>2</v>
      </c>
      <c r="M320" s="16">
        <v>3.83</v>
      </c>
      <c r="N320" s="16">
        <v>7.66</v>
      </c>
      <c r="O320" s="16">
        <v>0.77</v>
      </c>
      <c r="P320" s="16">
        <v>6.89</v>
      </c>
      <c r="Q320" s="16">
        <v>2.48</v>
      </c>
      <c r="R320" s="16">
        <v>4.41</v>
      </c>
      <c r="S320" s="15" t="s">
        <v>43</v>
      </c>
      <c r="T320" s="15" t="s">
        <v>73</v>
      </c>
      <c r="U320" s="17">
        <v>5</v>
      </c>
    </row>
    <row r="321" spans="1:21" x14ac:dyDescent="0.8">
      <c r="A321" s="13" t="s">
        <v>450</v>
      </c>
      <c r="B321" s="14">
        <v>45630</v>
      </c>
      <c r="C321" s="15" t="s">
        <v>34</v>
      </c>
      <c r="D321" s="15" t="s">
        <v>65</v>
      </c>
      <c r="E321" s="15" t="s">
        <v>114</v>
      </c>
      <c r="F321" s="15" t="s">
        <v>115</v>
      </c>
      <c r="G321" s="15" t="s">
        <v>116</v>
      </c>
      <c r="H321" s="15" t="s">
        <v>39</v>
      </c>
      <c r="I321" s="15" t="s">
        <v>51</v>
      </c>
      <c r="J321" s="15" t="s">
        <v>100</v>
      </c>
      <c r="K321" s="15" t="s">
        <v>243</v>
      </c>
      <c r="L321" s="15">
        <v>1</v>
      </c>
      <c r="M321" s="16">
        <v>5.6</v>
      </c>
      <c r="N321" s="16">
        <v>5.6</v>
      </c>
      <c r="O321" s="16">
        <v>0</v>
      </c>
      <c r="P321" s="16">
        <v>5.6</v>
      </c>
      <c r="Q321" s="16">
        <v>2.2599999999999998</v>
      </c>
      <c r="R321" s="16">
        <v>3.34</v>
      </c>
      <c r="S321" s="15" t="s">
        <v>72</v>
      </c>
      <c r="T321" s="15" t="s">
        <v>73</v>
      </c>
      <c r="U321" s="17">
        <v>3</v>
      </c>
    </row>
    <row r="322" spans="1:21" x14ac:dyDescent="0.8">
      <c r="A322" s="13" t="s">
        <v>451</v>
      </c>
      <c r="B322" s="14">
        <v>45630</v>
      </c>
      <c r="C322" s="15" t="s">
        <v>34</v>
      </c>
      <c r="D322" s="15" t="s">
        <v>35</v>
      </c>
      <c r="E322" s="15" t="s">
        <v>89</v>
      </c>
      <c r="F322" s="15" t="s">
        <v>90</v>
      </c>
      <c r="G322" s="15" t="s">
        <v>91</v>
      </c>
      <c r="H322" s="15" t="s">
        <v>39</v>
      </c>
      <c r="I322" s="15" t="s">
        <v>92</v>
      </c>
      <c r="J322" s="15" t="s">
        <v>41</v>
      </c>
      <c r="K322" s="15" t="s">
        <v>154</v>
      </c>
      <c r="L322" s="15">
        <v>4</v>
      </c>
      <c r="M322" s="16">
        <v>1.46</v>
      </c>
      <c r="N322" s="16">
        <v>5.84</v>
      </c>
      <c r="O322" s="16">
        <v>1.17</v>
      </c>
      <c r="P322" s="16">
        <v>4.67</v>
      </c>
      <c r="Q322" s="16">
        <v>2</v>
      </c>
      <c r="R322" s="16">
        <v>2.67</v>
      </c>
      <c r="S322" s="15" t="s">
        <v>93</v>
      </c>
      <c r="T322" s="15" t="s">
        <v>73</v>
      </c>
      <c r="U322" s="17">
        <v>5</v>
      </c>
    </row>
    <row r="323" spans="1:21" x14ac:dyDescent="0.8">
      <c r="A323" s="13" t="s">
        <v>452</v>
      </c>
      <c r="B323" s="14">
        <v>45630</v>
      </c>
      <c r="C323" s="15" t="s">
        <v>34</v>
      </c>
      <c r="D323" s="15" t="s">
        <v>65</v>
      </c>
      <c r="E323" s="15" t="s">
        <v>163</v>
      </c>
      <c r="F323" s="15" t="s">
        <v>164</v>
      </c>
      <c r="G323" s="15" t="s">
        <v>165</v>
      </c>
      <c r="H323" s="15" t="s">
        <v>39</v>
      </c>
      <c r="I323" s="15" t="s">
        <v>85</v>
      </c>
      <c r="J323" s="15" t="s">
        <v>100</v>
      </c>
      <c r="K323" s="15" t="s">
        <v>243</v>
      </c>
      <c r="L323" s="15">
        <v>2</v>
      </c>
      <c r="M323" s="16">
        <v>5.52</v>
      </c>
      <c r="N323" s="16">
        <v>11.04</v>
      </c>
      <c r="O323" s="16">
        <v>0</v>
      </c>
      <c r="P323" s="16">
        <v>11.04</v>
      </c>
      <c r="Q323" s="16">
        <v>4.95</v>
      </c>
      <c r="R323" s="16">
        <v>6.09</v>
      </c>
      <c r="S323" s="15" t="s">
        <v>72</v>
      </c>
      <c r="T323" s="15" t="s">
        <v>55</v>
      </c>
      <c r="U323" s="17">
        <v>5</v>
      </c>
    </row>
    <row r="324" spans="1:21" x14ac:dyDescent="0.8">
      <c r="A324" s="13" t="s">
        <v>453</v>
      </c>
      <c r="B324" s="14">
        <v>45631</v>
      </c>
      <c r="C324" s="15" t="s">
        <v>46</v>
      </c>
      <c r="D324" s="15" t="s">
        <v>35</v>
      </c>
      <c r="E324" s="15" t="s">
        <v>163</v>
      </c>
      <c r="F324" s="15" t="s">
        <v>164</v>
      </c>
      <c r="G324" s="15" t="s">
        <v>165</v>
      </c>
      <c r="H324" s="15" t="s">
        <v>39</v>
      </c>
      <c r="I324" s="15" t="s">
        <v>85</v>
      </c>
      <c r="J324" s="15" t="s">
        <v>61</v>
      </c>
      <c r="K324" s="15" t="s">
        <v>161</v>
      </c>
      <c r="L324" s="15">
        <v>1</v>
      </c>
      <c r="M324" s="16">
        <v>10.73</v>
      </c>
      <c r="N324" s="16">
        <v>10.73</v>
      </c>
      <c r="O324" s="16">
        <v>0</v>
      </c>
      <c r="P324" s="16">
        <v>10.73</v>
      </c>
      <c r="Q324" s="16">
        <v>5.88</v>
      </c>
      <c r="R324" s="16">
        <v>4.8499999999999996</v>
      </c>
      <c r="S324" s="15" t="s">
        <v>54</v>
      </c>
      <c r="T324" s="15" t="s">
        <v>55</v>
      </c>
      <c r="U324" s="17">
        <v>4</v>
      </c>
    </row>
    <row r="325" spans="1:21" x14ac:dyDescent="0.8">
      <c r="A325" s="13" t="s">
        <v>454</v>
      </c>
      <c r="B325" s="14">
        <v>45631</v>
      </c>
      <c r="C325" s="15" t="s">
        <v>46</v>
      </c>
      <c r="D325" s="15" t="s">
        <v>70</v>
      </c>
      <c r="E325" s="15" t="s">
        <v>114</v>
      </c>
      <c r="F325" s="15" t="s">
        <v>115</v>
      </c>
      <c r="G325" s="15" t="s">
        <v>116</v>
      </c>
      <c r="H325" s="15" t="s">
        <v>39</v>
      </c>
      <c r="I325" s="15" t="s">
        <v>51</v>
      </c>
      <c r="J325" s="15" t="s">
        <v>61</v>
      </c>
      <c r="K325" s="15" t="s">
        <v>62</v>
      </c>
      <c r="L325" s="15">
        <v>1</v>
      </c>
      <c r="M325" s="16">
        <v>10.38</v>
      </c>
      <c r="N325" s="16">
        <v>10.38</v>
      </c>
      <c r="O325" s="16">
        <v>2.08</v>
      </c>
      <c r="P325" s="16">
        <v>8.3000000000000007</v>
      </c>
      <c r="Q325" s="16">
        <v>4.12</v>
      </c>
      <c r="R325" s="16">
        <v>4.18</v>
      </c>
      <c r="S325" s="15" t="s">
        <v>72</v>
      </c>
      <c r="T325" s="15" t="s">
        <v>73</v>
      </c>
      <c r="U325" s="17">
        <v>5</v>
      </c>
    </row>
    <row r="326" spans="1:21" x14ac:dyDescent="0.8">
      <c r="A326" s="13" t="s">
        <v>455</v>
      </c>
      <c r="B326" s="14">
        <v>45633</v>
      </c>
      <c r="C326" s="15" t="s">
        <v>69</v>
      </c>
      <c r="D326" s="15" t="s">
        <v>65</v>
      </c>
      <c r="E326" s="15" t="s">
        <v>114</v>
      </c>
      <c r="F326" s="15" t="s">
        <v>115</v>
      </c>
      <c r="G326" s="15" t="s">
        <v>116</v>
      </c>
      <c r="H326" s="15" t="s">
        <v>39</v>
      </c>
      <c r="I326" s="15" t="s">
        <v>51</v>
      </c>
      <c r="J326" s="15" t="s">
        <v>66</v>
      </c>
      <c r="K326" s="15" t="s">
        <v>183</v>
      </c>
      <c r="L326" s="15">
        <v>2</v>
      </c>
      <c r="M326" s="16">
        <v>1.49</v>
      </c>
      <c r="N326" s="16">
        <v>2.98</v>
      </c>
      <c r="O326" s="16">
        <v>0</v>
      </c>
      <c r="P326" s="16">
        <v>2.98</v>
      </c>
      <c r="Q326" s="16">
        <v>1.44</v>
      </c>
      <c r="R326" s="16">
        <v>1.54</v>
      </c>
      <c r="S326" s="15" t="s">
        <v>72</v>
      </c>
      <c r="T326" s="15" t="s">
        <v>73</v>
      </c>
      <c r="U326" s="17">
        <v>5</v>
      </c>
    </row>
    <row r="327" spans="1:21" x14ac:dyDescent="0.8">
      <c r="A327" s="13" t="s">
        <v>456</v>
      </c>
      <c r="B327" s="14">
        <v>45637</v>
      </c>
      <c r="C327" s="15" t="s">
        <v>34</v>
      </c>
      <c r="D327" s="15" t="s">
        <v>70</v>
      </c>
      <c r="E327" s="15" t="s">
        <v>131</v>
      </c>
      <c r="F327" s="15" t="s">
        <v>132</v>
      </c>
      <c r="G327" s="15" t="s">
        <v>133</v>
      </c>
      <c r="H327" s="15" t="s">
        <v>39</v>
      </c>
      <c r="I327" s="15" t="s">
        <v>134</v>
      </c>
      <c r="J327" s="15" t="s">
        <v>61</v>
      </c>
      <c r="K327" s="15" t="s">
        <v>62</v>
      </c>
      <c r="L327" s="15">
        <v>5</v>
      </c>
      <c r="M327" s="16">
        <v>10.6</v>
      </c>
      <c r="N327" s="16">
        <v>53</v>
      </c>
      <c r="O327" s="16">
        <v>0</v>
      </c>
      <c r="P327" s="16">
        <v>53</v>
      </c>
      <c r="Q327" s="16">
        <v>18.98</v>
      </c>
      <c r="R327" s="16">
        <v>34.020000000000003</v>
      </c>
      <c r="S327" s="15" t="s">
        <v>93</v>
      </c>
      <c r="T327" s="15" t="s">
        <v>63</v>
      </c>
      <c r="U327" s="17">
        <v>5</v>
      </c>
    </row>
    <row r="328" spans="1:21" x14ac:dyDescent="0.8">
      <c r="A328" s="13" t="s">
        <v>457</v>
      </c>
      <c r="B328" s="14">
        <v>45637</v>
      </c>
      <c r="C328" s="15" t="s">
        <v>34</v>
      </c>
      <c r="D328" s="15" t="s">
        <v>35</v>
      </c>
      <c r="E328" s="15" t="s">
        <v>89</v>
      </c>
      <c r="F328" s="15" t="s">
        <v>90</v>
      </c>
      <c r="G328" s="15" t="s">
        <v>91</v>
      </c>
      <c r="H328" s="15" t="s">
        <v>39</v>
      </c>
      <c r="I328" s="15" t="s">
        <v>92</v>
      </c>
      <c r="J328" s="15" t="s">
        <v>78</v>
      </c>
      <c r="K328" s="15" t="s">
        <v>138</v>
      </c>
      <c r="L328" s="15">
        <v>2</v>
      </c>
      <c r="M328" s="16">
        <v>4.59</v>
      </c>
      <c r="N328" s="16">
        <v>9.18</v>
      </c>
      <c r="O328" s="16">
        <v>0</v>
      </c>
      <c r="P328" s="16">
        <v>9.18</v>
      </c>
      <c r="Q328" s="16">
        <v>4.21</v>
      </c>
      <c r="R328" s="16">
        <v>4.97</v>
      </c>
      <c r="S328" s="15" t="s">
        <v>43</v>
      </c>
      <c r="T328" s="15" t="s">
        <v>144</v>
      </c>
      <c r="U328" s="17">
        <v>5</v>
      </c>
    </row>
    <row r="329" spans="1:21" x14ac:dyDescent="0.8">
      <c r="A329" s="13" t="s">
        <v>458</v>
      </c>
      <c r="B329" s="14">
        <v>45638</v>
      </c>
      <c r="C329" s="15" t="s">
        <v>46</v>
      </c>
      <c r="D329" s="15" t="s">
        <v>47</v>
      </c>
      <c r="E329" s="15" t="s">
        <v>163</v>
      </c>
      <c r="F329" s="15" t="s">
        <v>164</v>
      </c>
      <c r="G329" s="15" t="s">
        <v>165</v>
      </c>
      <c r="H329" s="15" t="s">
        <v>39</v>
      </c>
      <c r="I329" s="15" t="s">
        <v>85</v>
      </c>
      <c r="J329" s="15" t="s">
        <v>78</v>
      </c>
      <c r="K329" s="15" t="s">
        <v>143</v>
      </c>
      <c r="L329" s="15">
        <v>1</v>
      </c>
      <c r="M329" s="16">
        <v>2.83</v>
      </c>
      <c r="N329" s="16">
        <v>2.83</v>
      </c>
      <c r="O329" s="16">
        <v>0</v>
      </c>
      <c r="P329" s="16">
        <v>2.83</v>
      </c>
      <c r="Q329" s="16">
        <v>1.47</v>
      </c>
      <c r="R329" s="16">
        <v>1.36</v>
      </c>
      <c r="S329" s="15" t="s">
        <v>54</v>
      </c>
      <c r="T329" s="15" t="s">
        <v>73</v>
      </c>
      <c r="U329" s="17">
        <v>4</v>
      </c>
    </row>
    <row r="330" spans="1:21" x14ac:dyDescent="0.8">
      <c r="A330" s="13" t="s">
        <v>459</v>
      </c>
      <c r="B330" s="14">
        <v>45638</v>
      </c>
      <c r="C330" s="15" t="s">
        <v>46</v>
      </c>
      <c r="D330" s="15" t="s">
        <v>70</v>
      </c>
      <c r="E330" s="15" t="s">
        <v>58</v>
      </c>
      <c r="F330" s="15" t="s">
        <v>59</v>
      </c>
      <c r="G330" s="15" t="s">
        <v>60</v>
      </c>
      <c r="H330" s="15" t="s">
        <v>39</v>
      </c>
      <c r="I330" s="15" t="s">
        <v>40</v>
      </c>
      <c r="J330" s="15" t="s">
        <v>66</v>
      </c>
      <c r="K330" s="15" t="s">
        <v>86</v>
      </c>
      <c r="L330" s="15">
        <v>1</v>
      </c>
      <c r="M330" s="16">
        <v>3.77</v>
      </c>
      <c r="N330" s="16">
        <v>3.77</v>
      </c>
      <c r="O330" s="16">
        <v>0</v>
      </c>
      <c r="P330" s="16">
        <v>3.77</v>
      </c>
      <c r="Q330" s="16">
        <v>1.88</v>
      </c>
      <c r="R330" s="16">
        <v>1.89</v>
      </c>
      <c r="S330" s="15" t="s">
        <v>93</v>
      </c>
      <c r="T330" s="15" t="s">
        <v>144</v>
      </c>
      <c r="U330" s="17">
        <v>3</v>
      </c>
    </row>
    <row r="331" spans="1:21" x14ac:dyDescent="0.8">
      <c r="A331" s="13" t="s">
        <v>460</v>
      </c>
      <c r="B331" s="14">
        <v>45638</v>
      </c>
      <c r="C331" s="15" t="s">
        <v>46</v>
      </c>
      <c r="D331" s="15" t="s">
        <v>70</v>
      </c>
      <c r="E331" s="15" t="s">
        <v>114</v>
      </c>
      <c r="F331" s="15" t="s">
        <v>115</v>
      </c>
      <c r="G331" s="15" t="s">
        <v>116</v>
      </c>
      <c r="H331" s="15" t="s">
        <v>39</v>
      </c>
      <c r="I331" s="15" t="s">
        <v>51</v>
      </c>
      <c r="J331" s="15" t="s">
        <v>41</v>
      </c>
      <c r="K331" s="15" t="s">
        <v>125</v>
      </c>
      <c r="L331" s="15">
        <v>4</v>
      </c>
      <c r="M331" s="16">
        <v>2.81</v>
      </c>
      <c r="N331" s="16">
        <v>11.24</v>
      </c>
      <c r="O331" s="16">
        <v>0</v>
      </c>
      <c r="P331" s="16">
        <v>11.24</v>
      </c>
      <c r="Q331" s="16">
        <v>6.03</v>
      </c>
      <c r="R331" s="16">
        <v>5.21</v>
      </c>
      <c r="S331" s="15" t="s">
        <v>43</v>
      </c>
      <c r="T331" s="15" t="s">
        <v>63</v>
      </c>
      <c r="U331" s="17">
        <v>5</v>
      </c>
    </row>
    <row r="332" spans="1:21" x14ac:dyDescent="0.8">
      <c r="A332" s="13" t="s">
        <v>461</v>
      </c>
      <c r="B332" s="14">
        <v>45638</v>
      </c>
      <c r="C332" s="15" t="s">
        <v>46</v>
      </c>
      <c r="D332" s="15" t="s">
        <v>65</v>
      </c>
      <c r="E332" s="15" t="s">
        <v>76</v>
      </c>
      <c r="F332" s="15" t="s">
        <v>77</v>
      </c>
      <c r="G332" s="15" t="s">
        <v>38</v>
      </c>
      <c r="H332" s="15" t="s">
        <v>39</v>
      </c>
      <c r="I332" s="15" t="s">
        <v>40</v>
      </c>
      <c r="J332" s="15" t="s">
        <v>100</v>
      </c>
      <c r="K332" s="15" t="s">
        <v>243</v>
      </c>
      <c r="L332" s="15">
        <v>2</v>
      </c>
      <c r="M332" s="16">
        <v>5.73</v>
      </c>
      <c r="N332" s="16">
        <v>11.46</v>
      </c>
      <c r="O332" s="16">
        <v>0</v>
      </c>
      <c r="P332" s="16">
        <v>11.46</v>
      </c>
      <c r="Q332" s="16">
        <v>4.82</v>
      </c>
      <c r="R332" s="16">
        <v>6.64</v>
      </c>
      <c r="S332" s="15" t="s">
        <v>93</v>
      </c>
      <c r="T332" s="15" t="s">
        <v>73</v>
      </c>
      <c r="U332" s="17">
        <v>3</v>
      </c>
    </row>
    <row r="333" spans="1:21" x14ac:dyDescent="0.8">
      <c r="A333" s="13" t="s">
        <v>462</v>
      </c>
      <c r="B333" s="14">
        <v>45640</v>
      </c>
      <c r="C333" s="15" t="s">
        <v>69</v>
      </c>
      <c r="D333" s="15" t="s">
        <v>70</v>
      </c>
      <c r="E333" s="15" t="s">
        <v>89</v>
      </c>
      <c r="F333" s="15" t="s">
        <v>90</v>
      </c>
      <c r="G333" s="15" t="s">
        <v>91</v>
      </c>
      <c r="H333" s="15" t="s">
        <v>39</v>
      </c>
      <c r="I333" s="15" t="s">
        <v>92</v>
      </c>
      <c r="J333" s="15" t="s">
        <v>66</v>
      </c>
      <c r="K333" s="15" t="s">
        <v>86</v>
      </c>
      <c r="L333" s="15">
        <v>4</v>
      </c>
      <c r="M333" s="16">
        <v>3.85</v>
      </c>
      <c r="N333" s="16">
        <v>15.4</v>
      </c>
      <c r="O333" s="16">
        <v>0.77</v>
      </c>
      <c r="P333" s="16">
        <v>14.63</v>
      </c>
      <c r="Q333" s="16">
        <v>5.65</v>
      </c>
      <c r="R333" s="16">
        <v>8.98</v>
      </c>
      <c r="S333" s="15" t="s">
        <v>93</v>
      </c>
      <c r="T333" s="15" t="s">
        <v>63</v>
      </c>
      <c r="U333" s="17">
        <v>5</v>
      </c>
    </row>
    <row r="334" spans="1:21" x14ac:dyDescent="0.8">
      <c r="A334" s="13" t="s">
        <v>463</v>
      </c>
      <c r="B334" s="14">
        <v>45641</v>
      </c>
      <c r="C334" s="15" t="s">
        <v>99</v>
      </c>
      <c r="D334" s="15" t="s">
        <v>70</v>
      </c>
      <c r="E334" s="15" t="s">
        <v>76</v>
      </c>
      <c r="F334" s="15" t="s">
        <v>77</v>
      </c>
      <c r="G334" s="15" t="s">
        <v>38</v>
      </c>
      <c r="H334" s="15" t="s">
        <v>39</v>
      </c>
      <c r="I334" s="15" t="s">
        <v>40</v>
      </c>
      <c r="J334" s="15" t="s">
        <v>78</v>
      </c>
      <c r="K334" s="15" t="s">
        <v>143</v>
      </c>
      <c r="L334" s="15">
        <v>1</v>
      </c>
      <c r="M334" s="16">
        <v>2.72</v>
      </c>
      <c r="N334" s="16">
        <v>2.72</v>
      </c>
      <c r="O334" s="16">
        <v>0</v>
      </c>
      <c r="P334" s="16">
        <v>2.72</v>
      </c>
      <c r="Q334" s="16">
        <v>0.97</v>
      </c>
      <c r="R334" s="16">
        <v>1.75</v>
      </c>
      <c r="S334" s="15" t="s">
        <v>102</v>
      </c>
      <c r="T334" s="15" t="s">
        <v>63</v>
      </c>
      <c r="U334" s="17">
        <v>4</v>
      </c>
    </row>
    <row r="335" spans="1:21" x14ac:dyDescent="0.8">
      <c r="A335" s="13" t="s">
        <v>464</v>
      </c>
      <c r="B335" s="14">
        <v>45641</v>
      </c>
      <c r="C335" s="15" t="s">
        <v>99</v>
      </c>
      <c r="D335" s="15" t="s">
        <v>65</v>
      </c>
      <c r="E335" s="15" t="s">
        <v>104</v>
      </c>
      <c r="F335" s="15" t="s">
        <v>105</v>
      </c>
      <c r="G335" s="15" t="s">
        <v>106</v>
      </c>
      <c r="H335" s="15" t="s">
        <v>39</v>
      </c>
      <c r="I335" s="15" t="s">
        <v>85</v>
      </c>
      <c r="J335" s="15" t="s">
        <v>78</v>
      </c>
      <c r="K335" s="15" t="s">
        <v>79</v>
      </c>
      <c r="L335" s="15">
        <v>2</v>
      </c>
      <c r="M335" s="16">
        <v>3.51</v>
      </c>
      <c r="N335" s="16">
        <v>7.02</v>
      </c>
      <c r="O335" s="16">
        <v>0</v>
      </c>
      <c r="P335" s="16">
        <v>7.02</v>
      </c>
      <c r="Q335" s="16">
        <v>2.81</v>
      </c>
      <c r="R335" s="16">
        <v>4.21</v>
      </c>
      <c r="S335" s="15" t="s">
        <v>123</v>
      </c>
      <c r="T335" s="15" t="s">
        <v>73</v>
      </c>
      <c r="U335" s="17">
        <v>5</v>
      </c>
    </row>
    <row r="336" spans="1:21" x14ac:dyDescent="0.8">
      <c r="A336" s="13" t="s">
        <v>465</v>
      </c>
      <c r="B336" s="14">
        <v>45642</v>
      </c>
      <c r="C336" s="15" t="s">
        <v>75</v>
      </c>
      <c r="D336" s="15" t="s">
        <v>70</v>
      </c>
      <c r="E336" s="15" t="s">
        <v>89</v>
      </c>
      <c r="F336" s="15" t="s">
        <v>90</v>
      </c>
      <c r="G336" s="15" t="s">
        <v>91</v>
      </c>
      <c r="H336" s="15" t="s">
        <v>39</v>
      </c>
      <c r="I336" s="15" t="s">
        <v>92</v>
      </c>
      <c r="J336" s="15" t="s">
        <v>100</v>
      </c>
      <c r="K336" s="15" t="s">
        <v>215</v>
      </c>
      <c r="L336" s="15">
        <v>2</v>
      </c>
      <c r="M336" s="16">
        <v>7.99</v>
      </c>
      <c r="N336" s="16">
        <v>15.98</v>
      </c>
      <c r="O336" s="16">
        <v>0</v>
      </c>
      <c r="P336" s="16">
        <v>15.98</v>
      </c>
      <c r="Q336" s="16">
        <v>6.58</v>
      </c>
      <c r="R336" s="16">
        <v>9.4</v>
      </c>
      <c r="S336" s="15" t="s">
        <v>93</v>
      </c>
      <c r="T336" s="15" t="s">
        <v>55</v>
      </c>
      <c r="U336" s="17">
        <v>3</v>
      </c>
    </row>
    <row r="337" spans="1:21" x14ac:dyDescent="0.8">
      <c r="A337" s="13" t="s">
        <v>466</v>
      </c>
      <c r="B337" s="14">
        <v>45643</v>
      </c>
      <c r="C337" s="15" t="s">
        <v>81</v>
      </c>
      <c r="D337" s="15" t="s">
        <v>70</v>
      </c>
      <c r="E337" s="15" t="s">
        <v>58</v>
      </c>
      <c r="F337" s="15" t="s">
        <v>59</v>
      </c>
      <c r="G337" s="15" t="s">
        <v>60</v>
      </c>
      <c r="H337" s="15" t="s">
        <v>39</v>
      </c>
      <c r="I337" s="15" t="s">
        <v>40</v>
      </c>
      <c r="J337" s="15" t="s">
        <v>52</v>
      </c>
      <c r="K337" s="15" t="s">
        <v>169</v>
      </c>
      <c r="L337" s="15">
        <v>1</v>
      </c>
      <c r="M337" s="16">
        <v>3.05</v>
      </c>
      <c r="N337" s="16">
        <v>3.05</v>
      </c>
      <c r="O337" s="16">
        <v>0</v>
      </c>
      <c r="P337" s="16">
        <v>3.05</v>
      </c>
      <c r="Q337" s="16">
        <v>1.1200000000000001</v>
      </c>
      <c r="R337" s="16">
        <v>1.93</v>
      </c>
      <c r="S337" s="15" t="s">
        <v>93</v>
      </c>
      <c r="T337" s="15" t="s">
        <v>55</v>
      </c>
      <c r="U337" s="17">
        <v>4</v>
      </c>
    </row>
    <row r="338" spans="1:21" x14ac:dyDescent="0.8">
      <c r="A338" s="13" t="s">
        <v>467</v>
      </c>
      <c r="B338" s="14">
        <v>45644</v>
      </c>
      <c r="C338" s="15" t="s">
        <v>34</v>
      </c>
      <c r="D338" s="15" t="s">
        <v>70</v>
      </c>
      <c r="E338" s="15" t="s">
        <v>82</v>
      </c>
      <c r="F338" s="15" t="s">
        <v>83</v>
      </c>
      <c r="G338" s="15" t="s">
        <v>84</v>
      </c>
      <c r="H338" s="15" t="s">
        <v>39</v>
      </c>
      <c r="I338" s="15" t="s">
        <v>85</v>
      </c>
      <c r="J338" s="15" t="s">
        <v>61</v>
      </c>
      <c r="K338" s="15" t="s">
        <v>161</v>
      </c>
      <c r="L338" s="15">
        <v>1</v>
      </c>
      <c r="M338" s="16">
        <v>10.95</v>
      </c>
      <c r="N338" s="16">
        <v>10.95</v>
      </c>
      <c r="O338" s="16">
        <v>1.0900000000000001</v>
      </c>
      <c r="P338" s="16">
        <v>9.86</v>
      </c>
      <c r="Q338" s="16">
        <v>4.12</v>
      </c>
      <c r="R338" s="16">
        <v>5.74</v>
      </c>
      <c r="S338" s="15" t="s">
        <v>43</v>
      </c>
      <c r="T338" s="15" t="s">
        <v>87</v>
      </c>
      <c r="U338" s="17">
        <v>5</v>
      </c>
    </row>
    <row r="339" spans="1:21" x14ac:dyDescent="0.8">
      <c r="A339" s="13" t="s">
        <v>468</v>
      </c>
      <c r="B339" s="14">
        <v>45644</v>
      </c>
      <c r="C339" s="15" t="s">
        <v>34</v>
      </c>
      <c r="D339" s="15" t="s">
        <v>47</v>
      </c>
      <c r="E339" s="15" t="s">
        <v>104</v>
      </c>
      <c r="F339" s="15" t="s">
        <v>105</v>
      </c>
      <c r="G339" s="15" t="s">
        <v>106</v>
      </c>
      <c r="H339" s="15" t="s">
        <v>39</v>
      </c>
      <c r="I339" s="15" t="s">
        <v>85</v>
      </c>
      <c r="J339" s="15" t="s">
        <v>100</v>
      </c>
      <c r="K339" s="15" t="s">
        <v>117</v>
      </c>
      <c r="L339" s="15">
        <v>1</v>
      </c>
      <c r="M339" s="16">
        <v>3.35</v>
      </c>
      <c r="N339" s="16">
        <v>3.35</v>
      </c>
      <c r="O339" s="16">
        <v>0.17</v>
      </c>
      <c r="P339" s="16">
        <v>3.18</v>
      </c>
      <c r="Q339" s="16">
        <v>1.41</v>
      </c>
      <c r="R339" s="16">
        <v>1.77</v>
      </c>
      <c r="S339" s="15" t="s">
        <v>43</v>
      </c>
      <c r="T339" s="15" t="s">
        <v>44</v>
      </c>
      <c r="U339" s="17">
        <v>4</v>
      </c>
    </row>
    <row r="340" spans="1:21" x14ac:dyDescent="0.8">
      <c r="A340" s="13" t="s">
        <v>469</v>
      </c>
      <c r="B340" s="14">
        <v>45645</v>
      </c>
      <c r="C340" s="15" t="s">
        <v>46</v>
      </c>
      <c r="D340" s="15" t="s">
        <v>35</v>
      </c>
      <c r="E340" s="15" t="s">
        <v>36</v>
      </c>
      <c r="F340" s="15" t="s">
        <v>37</v>
      </c>
      <c r="G340" s="15" t="s">
        <v>38</v>
      </c>
      <c r="H340" s="15" t="s">
        <v>39</v>
      </c>
      <c r="I340" s="15" t="s">
        <v>40</v>
      </c>
      <c r="J340" s="15" t="s">
        <v>52</v>
      </c>
      <c r="K340" s="15" t="s">
        <v>71</v>
      </c>
      <c r="L340" s="15">
        <v>1</v>
      </c>
      <c r="M340" s="16">
        <v>4.03</v>
      </c>
      <c r="N340" s="16">
        <v>4.03</v>
      </c>
      <c r="O340" s="16">
        <v>0</v>
      </c>
      <c r="P340" s="16">
        <v>4.03</v>
      </c>
      <c r="Q340" s="16">
        <v>2.14</v>
      </c>
      <c r="R340" s="16">
        <v>1.89</v>
      </c>
      <c r="S340" s="15" t="s">
        <v>72</v>
      </c>
      <c r="T340" s="15" t="s">
        <v>144</v>
      </c>
      <c r="U340" s="17">
        <v>3</v>
      </c>
    </row>
    <row r="341" spans="1:21" x14ac:dyDescent="0.8">
      <c r="A341" s="13" t="s">
        <v>470</v>
      </c>
      <c r="B341" s="14">
        <v>45645</v>
      </c>
      <c r="C341" s="15" t="s">
        <v>46</v>
      </c>
      <c r="D341" s="15" t="s">
        <v>47</v>
      </c>
      <c r="E341" s="15" t="s">
        <v>76</v>
      </c>
      <c r="F341" s="15" t="s">
        <v>77</v>
      </c>
      <c r="G341" s="15" t="s">
        <v>38</v>
      </c>
      <c r="H341" s="15" t="s">
        <v>39</v>
      </c>
      <c r="I341" s="15" t="s">
        <v>40</v>
      </c>
      <c r="J341" s="15" t="s">
        <v>41</v>
      </c>
      <c r="K341" s="15" t="s">
        <v>109</v>
      </c>
      <c r="L341" s="15">
        <v>3</v>
      </c>
      <c r="M341" s="16">
        <v>2.46</v>
      </c>
      <c r="N341" s="16">
        <v>7.38</v>
      </c>
      <c r="O341" s="16">
        <v>0.37</v>
      </c>
      <c r="P341" s="16">
        <v>7.01</v>
      </c>
      <c r="Q341" s="16">
        <v>3.52</v>
      </c>
      <c r="R341" s="16">
        <v>3.49</v>
      </c>
      <c r="S341" s="15" t="s">
        <v>43</v>
      </c>
      <c r="T341" s="15" t="s">
        <v>55</v>
      </c>
      <c r="U341" s="17">
        <v>5</v>
      </c>
    </row>
    <row r="342" spans="1:21" x14ac:dyDescent="0.8">
      <c r="A342" s="13" t="s">
        <v>471</v>
      </c>
      <c r="B342" s="14">
        <v>45648</v>
      </c>
      <c r="C342" s="15" t="s">
        <v>99</v>
      </c>
      <c r="D342" s="15" t="s">
        <v>65</v>
      </c>
      <c r="E342" s="15" t="s">
        <v>82</v>
      </c>
      <c r="F342" s="15" t="s">
        <v>83</v>
      </c>
      <c r="G342" s="15" t="s">
        <v>84</v>
      </c>
      <c r="H342" s="15" t="s">
        <v>39</v>
      </c>
      <c r="I342" s="15" t="s">
        <v>85</v>
      </c>
      <c r="J342" s="15" t="s">
        <v>41</v>
      </c>
      <c r="K342" s="15" t="s">
        <v>109</v>
      </c>
      <c r="L342" s="15">
        <v>1</v>
      </c>
      <c r="M342" s="16">
        <v>2.5299999999999998</v>
      </c>
      <c r="N342" s="16">
        <v>2.5299999999999998</v>
      </c>
      <c r="O342" s="16">
        <v>0.25</v>
      </c>
      <c r="P342" s="16">
        <v>2.2799999999999998</v>
      </c>
      <c r="Q342" s="16">
        <v>0.94</v>
      </c>
      <c r="R342" s="16">
        <v>1.34</v>
      </c>
      <c r="S342" s="15" t="s">
        <v>54</v>
      </c>
      <c r="T342" s="15" t="s">
        <v>63</v>
      </c>
      <c r="U342" s="17">
        <v>5</v>
      </c>
    </row>
    <row r="343" spans="1:21" x14ac:dyDescent="0.8">
      <c r="A343" s="13" t="s">
        <v>472</v>
      </c>
      <c r="B343" s="14">
        <v>45652</v>
      </c>
      <c r="C343" s="15" t="s">
        <v>46</v>
      </c>
      <c r="D343" s="15" t="s">
        <v>47</v>
      </c>
      <c r="E343" s="15" t="s">
        <v>58</v>
      </c>
      <c r="F343" s="15" t="s">
        <v>59</v>
      </c>
      <c r="G343" s="15" t="s">
        <v>60</v>
      </c>
      <c r="H343" s="15" t="s">
        <v>39</v>
      </c>
      <c r="I343" s="15" t="s">
        <v>40</v>
      </c>
      <c r="J343" s="15" t="s">
        <v>52</v>
      </c>
      <c r="K343" s="15" t="s">
        <v>135</v>
      </c>
      <c r="L343" s="15">
        <v>2</v>
      </c>
      <c r="M343" s="16">
        <v>2.04</v>
      </c>
      <c r="N343" s="16">
        <v>4.08</v>
      </c>
      <c r="O343" s="16">
        <v>0</v>
      </c>
      <c r="P343" s="16">
        <v>4.08</v>
      </c>
      <c r="Q343" s="16">
        <v>1.61</v>
      </c>
      <c r="R343" s="16">
        <v>2.4700000000000002</v>
      </c>
      <c r="S343" s="15" t="s">
        <v>93</v>
      </c>
      <c r="T343" s="15" t="s">
        <v>63</v>
      </c>
      <c r="U343" s="17">
        <v>4</v>
      </c>
    </row>
    <row r="344" spans="1:21" x14ac:dyDescent="0.8">
      <c r="A344" s="13" t="s">
        <v>473</v>
      </c>
      <c r="B344" s="14">
        <v>45652</v>
      </c>
      <c r="C344" s="15" t="s">
        <v>46</v>
      </c>
      <c r="D344" s="15" t="s">
        <v>65</v>
      </c>
      <c r="E344" s="15" t="s">
        <v>48</v>
      </c>
      <c r="F344" s="15" t="s">
        <v>49</v>
      </c>
      <c r="G344" s="15" t="s">
        <v>50</v>
      </c>
      <c r="H344" s="15" t="s">
        <v>39</v>
      </c>
      <c r="I344" s="15" t="s">
        <v>51</v>
      </c>
      <c r="J344" s="15" t="s">
        <v>66</v>
      </c>
      <c r="K344" s="15" t="s">
        <v>183</v>
      </c>
      <c r="L344" s="15">
        <v>1</v>
      </c>
      <c r="M344" s="16">
        <v>1.53</v>
      </c>
      <c r="N344" s="16">
        <v>1.53</v>
      </c>
      <c r="O344" s="16">
        <v>0.15</v>
      </c>
      <c r="P344" s="16">
        <v>1.38</v>
      </c>
      <c r="Q344" s="16">
        <v>0.56000000000000005</v>
      </c>
      <c r="R344" s="16">
        <v>0.82</v>
      </c>
      <c r="S344" s="15" t="s">
        <v>102</v>
      </c>
      <c r="T344" s="15" t="s">
        <v>87</v>
      </c>
      <c r="U344" s="17">
        <v>4</v>
      </c>
    </row>
    <row r="345" spans="1:21" x14ac:dyDescent="0.8">
      <c r="A345" s="13" t="s">
        <v>474</v>
      </c>
      <c r="B345" s="14">
        <v>45653</v>
      </c>
      <c r="C345" s="15" t="s">
        <v>57</v>
      </c>
      <c r="D345" s="15" t="s">
        <v>65</v>
      </c>
      <c r="E345" s="15" t="s">
        <v>114</v>
      </c>
      <c r="F345" s="15" t="s">
        <v>115</v>
      </c>
      <c r="G345" s="15" t="s">
        <v>116</v>
      </c>
      <c r="H345" s="15" t="s">
        <v>39</v>
      </c>
      <c r="I345" s="15" t="s">
        <v>51</v>
      </c>
      <c r="J345" s="15" t="s">
        <v>61</v>
      </c>
      <c r="K345" s="15" t="s">
        <v>62</v>
      </c>
      <c r="L345" s="15">
        <v>1</v>
      </c>
      <c r="M345" s="16">
        <v>10.77</v>
      </c>
      <c r="N345" s="16">
        <v>10.77</v>
      </c>
      <c r="O345" s="16">
        <v>0.54</v>
      </c>
      <c r="P345" s="16">
        <v>10.23</v>
      </c>
      <c r="Q345" s="16">
        <v>3.89</v>
      </c>
      <c r="R345" s="16">
        <v>6.34</v>
      </c>
      <c r="S345" s="15" t="s">
        <v>102</v>
      </c>
      <c r="T345" s="15" t="s">
        <v>55</v>
      </c>
      <c r="U345" s="17">
        <v>4</v>
      </c>
    </row>
    <row r="346" spans="1:21" x14ac:dyDescent="0.8">
      <c r="A346" s="13" t="s">
        <v>475</v>
      </c>
      <c r="B346" s="14">
        <v>45654</v>
      </c>
      <c r="C346" s="15" t="s">
        <v>69</v>
      </c>
      <c r="D346" s="15" t="s">
        <v>65</v>
      </c>
      <c r="E346" s="15" t="s">
        <v>131</v>
      </c>
      <c r="F346" s="15" t="s">
        <v>132</v>
      </c>
      <c r="G346" s="15" t="s">
        <v>133</v>
      </c>
      <c r="H346" s="15" t="s">
        <v>39</v>
      </c>
      <c r="I346" s="15" t="s">
        <v>134</v>
      </c>
      <c r="J346" s="15" t="s">
        <v>66</v>
      </c>
      <c r="K346" s="15" t="s">
        <v>183</v>
      </c>
      <c r="L346" s="15">
        <v>3</v>
      </c>
      <c r="M346" s="16">
        <v>1.48</v>
      </c>
      <c r="N346" s="16">
        <v>4.4400000000000004</v>
      </c>
      <c r="O346" s="16">
        <v>0.22</v>
      </c>
      <c r="P346" s="16">
        <v>4.22</v>
      </c>
      <c r="Q346" s="16">
        <v>2.2999999999999998</v>
      </c>
      <c r="R346" s="16">
        <v>1.92</v>
      </c>
      <c r="S346" s="15" t="s">
        <v>43</v>
      </c>
      <c r="T346" s="15" t="s">
        <v>55</v>
      </c>
      <c r="U346" s="17">
        <v>5</v>
      </c>
    </row>
    <row r="347" spans="1:21" x14ac:dyDescent="0.8">
      <c r="A347" s="13" t="s">
        <v>476</v>
      </c>
      <c r="B347" s="14">
        <v>45655</v>
      </c>
      <c r="C347" s="15" t="s">
        <v>99</v>
      </c>
      <c r="D347" s="15" t="s">
        <v>47</v>
      </c>
      <c r="E347" s="15" t="s">
        <v>76</v>
      </c>
      <c r="F347" s="15" t="s">
        <v>77</v>
      </c>
      <c r="G347" s="15" t="s">
        <v>38</v>
      </c>
      <c r="H347" s="15" t="s">
        <v>39</v>
      </c>
      <c r="I347" s="15" t="s">
        <v>40</v>
      </c>
      <c r="J347" s="15" t="s">
        <v>66</v>
      </c>
      <c r="K347" s="15" t="s">
        <v>67</v>
      </c>
      <c r="L347" s="15">
        <v>1</v>
      </c>
      <c r="M347" s="16">
        <v>0.99</v>
      </c>
      <c r="N347" s="16">
        <v>0.99</v>
      </c>
      <c r="O347" s="16">
        <v>0</v>
      </c>
      <c r="P347" s="16">
        <v>0.99</v>
      </c>
      <c r="Q347" s="16">
        <v>0.51</v>
      </c>
      <c r="R347" s="16">
        <v>0.48</v>
      </c>
      <c r="S347" s="15" t="s">
        <v>102</v>
      </c>
      <c r="T347" s="15" t="s">
        <v>63</v>
      </c>
      <c r="U347" s="17">
        <v>5</v>
      </c>
    </row>
    <row r="348" spans="1:21" x14ac:dyDescent="0.8">
      <c r="A348" s="13" t="s">
        <v>477</v>
      </c>
      <c r="B348" s="14">
        <v>45655</v>
      </c>
      <c r="C348" s="15" t="s">
        <v>99</v>
      </c>
      <c r="D348" s="15" t="s">
        <v>35</v>
      </c>
      <c r="E348" s="15" t="s">
        <v>82</v>
      </c>
      <c r="F348" s="15" t="s">
        <v>83</v>
      </c>
      <c r="G348" s="15" t="s">
        <v>84</v>
      </c>
      <c r="H348" s="15" t="s">
        <v>39</v>
      </c>
      <c r="I348" s="15" t="s">
        <v>85</v>
      </c>
      <c r="J348" s="15" t="s">
        <v>61</v>
      </c>
      <c r="K348" s="15" t="s">
        <v>161</v>
      </c>
      <c r="L348" s="15">
        <v>4</v>
      </c>
      <c r="M348" s="16">
        <v>11.22</v>
      </c>
      <c r="N348" s="16">
        <v>44.88</v>
      </c>
      <c r="O348" s="16">
        <v>4.49</v>
      </c>
      <c r="P348" s="16">
        <v>40.39</v>
      </c>
      <c r="Q348" s="16">
        <v>21.63</v>
      </c>
      <c r="R348" s="16">
        <v>18.760000000000002</v>
      </c>
      <c r="S348" s="15" t="s">
        <v>54</v>
      </c>
      <c r="T348" s="15" t="s">
        <v>44</v>
      </c>
      <c r="U348" s="17">
        <v>4</v>
      </c>
    </row>
    <row r="349" spans="1:21" x14ac:dyDescent="0.8">
      <c r="A349" s="13" t="s">
        <v>478</v>
      </c>
      <c r="B349" s="14">
        <v>45656</v>
      </c>
      <c r="C349" s="15" t="s">
        <v>75</v>
      </c>
      <c r="D349" s="15" t="s">
        <v>65</v>
      </c>
      <c r="E349" s="15" t="s">
        <v>58</v>
      </c>
      <c r="F349" s="15" t="s">
        <v>59</v>
      </c>
      <c r="G349" s="15" t="s">
        <v>60</v>
      </c>
      <c r="H349" s="15" t="s">
        <v>39</v>
      </c>
      <c r="I349" s="15" t="s">
        <v>40</v>
      </c>
      <c r="J349" s="15" t="s">
        <v>41</v>
      </c>
      <c r="K349" s="15" t="s">
        <v>109</v>
      </c>
      <c r="L349" s="15">
        <v>2</v>
      </c>
      <c r="M349" s="16">
        <v>2.4500000000000002</v>
      </c>
      <c r="N349" s="16">
        <v>4.9000000000000004</v>
      </c>
      <c r="O349" s="16">
        <v>0</v>
      </c>
      <c r="P349" s="16">
        <v>4.9000000000000004</v>
      </c>
      <c r="Q349" s="16">
        <v>2.56</v>
      </c>
      <c r="R349" s="16">
        <v>2.34</v>
      </c>
      <c r="S349" s="15" t="s">
        <v>43</v>
      </c>
      <c r="T349" s="15" t="s">
        <v>63</v>
      </c>
      <c r="U349" s="17">
        <v>4</v>
      </c>
    </row>
    <row r="350" spans="1:21" x14ac:dyDescent="0.8">
      <c r="A350" s="13" t="s">
        <v>479</v>
      </c>
      <c r="B350" s="14">
        <v>45656</v>
      </c>
      <c r="C350" s="15" t="s">
        <v>75</v>
      </c>
      <c r="D350" s="15" t="s">
        <v>35</v>
      </c>
      <c r="E350" s="15" t="s">
        <v>89</v>
      </c>
      <c r="F350" s="15" t="s">
        <v>90</v>
      </c>
      <c r="G350" s="15" t="s">
        <v>91</v>
      </c>
      <c r="H350" s="15" t="s">
        <v>39</v>
      </c>
      <c r="I350" s="15" t="s">
        <v>92</v>
      </c>
      <c r="J350" s="15" t="s">
        <v>78</v>
      </c>
      <c r="K350" s="15" t="s">
        <v>141</v>
      </c>
      <c r="L350" s="15">
        <v>3</v>
      </c>
      <c r="M350" s="16">
        <v>6.33</v>
      </c>
      <c r="N350" s="16">
        <v>18.989999999999998</v>
      </c>
      <c r="O350" s="16">
        <v>0.95</v>
      </c>
      <c r="P350" s="16">
        <v>18.04</v>
      </c>
      <c r="Q350" s="16">
        <v>8.5399999999999991</v>
      </c>
      <c r="R350" s="16">
        <v>9.5</v>
      </c>
      <c r="S350" s="15" t="s">
        <v>123</v>
      </c>
      <c r="T350" s="15" t="s">
        <v>144</v>
      </c>
      <c r="U350" s="17">
        <v>2</v>
      </c>
    </row>
    <row r="351" spans="1:21" x14ac:dyDescent="0.8">
      <c r="A351" s="19" t="s">
        <v>480</v>
      </c>
      <c r="B351" s="20">
        <v>45657</v>
      </c>
      <c r="C351" s="21" t="s">
        <v>81</v>
      </c>
      <c r="D351" s="21" t="s">
        <v>47</v>
      </c>
      <c r="E351" s="21" t="s">
        <v>104</v>
      </c>
      <c r="F351" s="21" t="s">
        <v>105</v>
      </c>
      <c r="G351" s="21" t="s">
        <v>106</v>
      </c>
      <c r="H351" s="21" t="s">
        <v>39</v>
      </c>
      <c r="I351" s="21" t="s">
        <v>85</v>
      </c>
      <c r="J351" s="21" t="s">
        <v>61</v>
      </c>
      <c r="K351" s="21" t="s">
        <v>121</v>
      </c>
      <c r="L351" s="21">
        <v>1</v>
      </c>
      <c r="M351" s="22">
        <v>9.64</v>
      </c>
      <c r="N351" s="22">
        <v>9.64</v>
      </c>
      <c r="O351" s="22">
        <v>0</v>
      </c>
      <c r="P351" s="22">
        <v>9.64</v>
      </c>
      <c r="Q351" s="22">
        <v>5.27</v>
      </c>
      <c r="R351" s="22">
        <v>4.37</v>
      </c>
      <c r="S351" s="21" t="s">
        <v>93</v>
      </c>
      <c r="T351" s="21" t="s">
        <v>44</v>
      </c>
      <c r="U351" s="23">
        <v>2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D6FF5-312F-4BD0-8AF8-8A3190C4F60D}">
  <sheetPr>
    <tabColor rgb="FFC00000"/>
  </sheetPr>
  <dimension ref="A1:X351"/>
  <sheetViews>
    <sheetView workbookViewId="0">
      <selection activeCell="B6" sqref="B6"/>
    </sheetView>
  </sheetViews>
  <sheetFormatPr defaultRowHeight="14.4" x14ac:dyDescent="0.55000000000000004"/>
  <cols>
    <col min="1" max="1" width="10" bestFit="1" customWidth="1"/>
    <col min="2" max="2" width="9.9453125" bestFit="1" customWidth="1"/>
    <col min="3" max="3" width="9" bestFit="1" customWidth="1"/>
    <col min="4" max="4" width="13.62890625" bestFit="1" customWidth="1"/>
    <col min="5" max="5" width="11.05078125" bestFit="1" customWidth="1"/>
    <col min="6" max="6" width="10.47265625" bestFit="1" customWidth="1"/>
    <col min="7" max="7" width="9.734375" bestFit="1" customWidth="1"/>
    <col min="8" max="8" width="16.15625" bestFit="1" customWidth="1"/>
    <col min="9" max="9" width="10.578125" bestFit="1" customWidth="1"/>
    <col min="10" max="10" width="7.15625" bestFit="1" customWidth="1"/>
    <col min="11" max="11" width="12.3671875" bestFit="1" customWidth="1"/>
    <col min="12" max="12" width="11.41796875" bestFit="1" customWidth="1"/>
    <col min="13" max="13" width="22.26171875" bestFit="1" customWidth="1"/>
    <col min="14" max="14" width="9.68359375" bestFit="1" customWidth="1"/>
    <col min="15" max="15" width="11.1015625" bestFit="1" customWidth="1"/>
    <col min="16" max="16" width="15.3671875" bestFit="1" customWidth="1"/>
    <col min="17" max="17" width="17.15625" bestFit="1" customWidth="1"/>
    <col min="18" max="18" width="13.5234375" bestFit="1" customWidth="1"/>
    <col min="19" max="19" width="19.7890625" bestFit="1" customWidth="1"/>
    <col min="20" max="20" width="12.734375" bestFit="1" customWidth="1"/>
    <col min="21" max="21" width="14.7890625" bestFit="1" customWidth="1"/>
    <col min="22" max="22" width="16.89453125" bestFit="1" customWidth="1"/>
    <col min="23" max="23" width="21.3125" bestFit="1" customWidth="1"/>
    <col min="24" max="24" width="13.83984375" bestFit="1" customWidth="1"/>
  </cols>
  <sheetData>
    <row r="1" spans="1:24" x14ac:dyDescent="0.55000000000000004">
      <c r="A1" t="s">
        <v>9</v>
      </c>
      <c r="B1" t="s">
        <v>10</v>
      </c>
      <c r="C1" t="s">
        <v>11</v>
      </c>
      <c r="D1" t="s">
        <v>12</v>
      </c>
      <c r="E1" t="s">
        <v>481</v>
      </c>
      <c r="F1" t="s">
        <v>13</v>
      </c>
      <c r="G1" t="s">
        <v>14</v>
      </c>
      <c r="H1" t="s">
        <v>15</v>
      </c>
      <c r="I1" t="s">
        <v>16</v>
      </c>
      <c r="J1" t="s">
        <v>17</v>
      </c>
      <c r="K1" t="s">
        <v>18</v>
      </c>
      <c r="L1" t="s">
        <v>19</v>
      </c>
      <c r="M1" t="s">
        <v>20</v>
      </c>
      <c r="N1" t="s">
        <v>21</v>
      </c>
      <c r="O1" t="s">
        <v>22</v>
      </c>
      <c r="P1" t="s">
        <v>23</v>
      </c>
      <c r="Q1" t="s">
        <v>25</v>
      </c>
      <c r="R1" t="s">
        <v>26</v>
      </c>
      <c r="S1" t="s">
        <v>27</v>
      </c>
      <c r="T1" t="s">
        <v>28</v>
      </c>
      <c r="U1" t="s">
        <v>29</v>
      </c>
      <c r="V1" t="s">
        <v>30</v>
      </c>
      <c r="W1" t="s">
        <v>31</v>
      </c>
      <c r="X1" t="s">
        <v>24</v>
      </c>
    </row>
    <row r="2" spans="1:24" x14ac:dyDescent="0.55000000000000004">
      <c r="A2" t="s">
        <v>32</v>
      </c>
      <c r="B2" s="24">
        <v>45294</v>
      </c>
      <c r="C2" t="s">
        <v>33</v>
      </c>
      <c r="D2" t="s">
        <v>34</v>
      </c>
      <c r="E2" t="s">
        <v>482</v>
      </c>
      <c r="F2" t="s">
        <v>483</v>
      </c>
      <c r="G2" t="s">
        <v>36</v>
      </c>
      <c r="H2" t="s">
        <v>37</v>
      </c>
      <c r="I2" t="s">
        <v>38</v>
      </c>
      <c r="J2" t="s">
        <v>39</v>
      </c>
      <c r="K2" t="s">
        <v>40</v>
      </c>
      <c r="L2" t="s">
        <v>41</v>
      </c>
      <c r="M2" t="s">
        <v>42</v>
      </c>
      <c r="N2">
        <v>3</v>
      </c>
      <c r="O2">
        <v>4.57</v>
      </c>
      <c r="P2">
        <v>13.71</v>
      </c>
      <c r="Q2">
        <v>0</v>
      </c>
      <c r="R2">
        <v>13.71</v>
      </c>
      <c r="S2">
        <v>5.08</v>
      </c>
      <c r="T2">
        <v>8.6300000000000008</v>
      </c>
      <c r="U2" t="s">
        <v>43</v>
      </c>
      <c r="V2" t="s">
        <v>44</v>
      </c>
      <c r="W2">
        <v>4</v>
      </c>
      <c r="X2" s="25" t="s">
        <v>490</v>
      </c>
    </row>
    <row r="3" spans="1:24" x14ac:dyDescent="0.55000000000000004">
      <c r="A3" t="s">
        <v>45</v>
      </c>
      <c r="B3" s="24">
        <v>45295</v>
      </c>
      <c r="C3" t="s">
        <v>33</v>
      </c>
      <c r="D3" t="s">
        <v>46</v>
      </c>
      <c r="E3" t="s">
        <v>484</v>
      </c>
      <c r="F3" t="s">
        <v>485</v>
      </c>
      <c r="G3" t="s">
        <v>48</v>
      </c>
      <c r="H3" t="s">
        <v>49</v>
      </c>
      <c r="I3" t="s">
        <v>50</v>
      </c>
      <c r="J3" t="s">
        <v>39</v>
      </c>
      <c r="K3" t="s">
        <v>51</v>
      </c>
      <c r="L3" t="s">
        <v>52</v>
      </c>
      <c r="M3" t="s">
        <v>53</v>
      </c>
      <c r="N3">
        <v>1</v>
      </c>
      <c r="O3">
        <v>2.4700000000000002</v>
      </c>
      <c r="P3">
        <v>2.4700000000000002</v>
      </c>
      <c r="Q3">
        <v>0.25</v>
      </c>
      <c r="R3">
        <v>2.2200000000000002</v>
      </c>
      <c r="S3">
        <v>1</v>
      </c>
      <c r="T3">
        <v>1.22</v>
      </c>
      <c r="U3" t="s">
        <v>54</v>
      </c>
      <c r="V3" t="s">
        <v>55</v>
      </c>
      <c r="W3">
        <v>4</v>
      </c>
      <c r="X3" s="25" t="s">
        <v>491</v>
      </c>
    </row>
    <row r="4" spans="1:24" x14ac:dyDescent="0.55000000000000004">
      <c r="A4" t="s">
        <v>56</v>
      </c>
      <c r="B4" s="24">
        <v>45296</v>
      </c>
      <c r="C4" t="s">
        <v>33</v>
      </c>
      <c r="D4" t="s">
        <v>57</v>
      </c>
      <c r="E4" t="s">
        <v>484</v>
      </c>
      <c r="F4" t="s">
        <v>485</v>
      </c>
      <c r="G4" t="s">
        <v>58</v>
      </c>
      <c r="H4" t="s">
        <v>59</v>
      </c>
      <c r="I4" t="s">
        <v>60</v>
      </c>
      <c r="J4" t="s">
        <v>39</v>
      </c>
      <c r="K4" t="s">
        <v>40</v>
      </c>
      <c r="L4" t="s">
        <v>61</v>
      </c>
      <c r="M4" t="s">
        <v>62</v>
      </c>
      <c r="N4">
        <v>4</v>
      </c>
      <c r="O4">
        <v>10.39</v>
      </c>
      <c r="P4">
        <v>41.56</v>
      </c>
      <c r="Q4">
        <v>0</v>
      </c>
      <c r="R4">
        <v>41.56</v>
      </c>
      <c r="S4">
        <v>19.88</v>
      </c>
      <c r="T4">
        <v>21.68</v>
      </c>
      <c r="U4" t="s">
        <v>43</v>
      </c>
      <c r="V4" t="s">
        <v>63</v>
      </c>
      <c r="W4">
        <v>5</v>
      </c>
      <c r="X4" s="25" t="s">
        <v>490</v>
      </c>
    </row>
    <row r="5" spans="1:24" x14ac:dyDescent="0.55000000000000004">
      <c r="A5" t="s">
        <v>64</v>
      </c>
      <c r="B5" s="24">
        <v>45296</v>
      </c>
      <c r="C5" t="s">
        <v>33</v>
      </c>
      <c r="D5" t="s">
        <v>57</v>
      </c>
      <c r="E5" t="s">
        <v>486</v>
      </c>
      <c r="F5" t="s">
        <v>487</v>
      </c>
      <c r="G5" t="s">
        <v>48</v>
      </c>
      <c r="H5" t="s">
        <v>49</v>
      </c>
      <c r="I5" t="s">
        <v>50</v>
      </c>
      <c r="J5" t="s">
        <v>39</v>
      </c>
      <c r="K5" t="s">
        <v>51</v>
      </c>
      <c r="L5" t="s">
        <v>66</v>
      </c>
      <c r="M5" t="s">
        <v>67</v>
      </c>
      <c r="N5">
        <v>1</v>
      </c>
      <c r="O5">
        <v>1</v>
      </c>
      <c r="P5">
        <v>1</v>
      </c>
      <c r="Q5">
        <v>0</v>
      </c>
      <c r="R5">
        <v>1</v>
      </c>
      <c r="S5">
        <v>0.47</v>
      </c>
      <c r="T5">
        <v>0.53</v>
      </c>
      <c r="U5" t="s">
        <v>54</v>
      </c>
      <c r="V5" t="s">
        <v>63</v>
      </c>
      <c r="W5">
        <v>4</v>
      </c>
      <c r="X5" s="25" t="s">
        <v>490</v>
      </c>
    </row>
    <row r="6" spans="1:24" x14ac:dyDescent="0.55000000000000004">
      <c r="A6" t="s">
        <v>68</v>
      </c>
      <c r="B6" s="24">
        <v>45297</v>
      </c>
      <c r="C6" t="s">
        <v>33</v>
      </c>
      <c r="D6" t="s">
        <v>69</v>
      </c>
      <c r="E6" t="s">
        <v>488</v>
      </c>
      <c r="F6" t="s">
        <v>489</v>
      </c>
      <c r="G6" t="s">
        <v>58</v>
      </c>
      <c r="H6" t="s">
        <v>59</v>
      </c>
      <c r="I6" t="s">
        <v>60</v>
      </c>
      <c r="J6" t="s">
        <v>39</v>
      </c>
      <c r="K6" t="s">
        <v>40</v>
      </c>
      <c r="L6" t="s">
        <v>52</v>
      </c>
      <c r="M6" t="s">
        <v>71</v>
      </c>
      <c r="N6">
        <v>2</v>
      </c>
      <c r="O6">
        <v>3.89</v>
      </c>
      <c r="P6">
        <v>7.78</v>
      </c>
      <c r="Q6">
        <v>0</v>
      </c>
      <c r="R6">
        <v>7.78</v>
      </c>
      <c r="S6">
        <v>3.2</v>
      </c>
      <c r="T6">
        <v>4.58</v>
      </c>
      <c r="U6" t="s">
        <v>72</v>
      </c>
      <c r="V6" t="s">
        <v>73</v>
      </c>
      <c r="W6">
        <v>5</v>
      </c>
      <c r="X6" s="25" t="s">
        <v>490</v>
      </c>
    </row>
    <row r="7" spans="1:24" x14ac:dyDescent="0.55000000000000004">
      <c r="A7" t="s">
        <v>74</v>
      </c>
      <c r="B7" s="24">
        <v>45299</v>
      </c>
      <c r="C7" t="s">
        <v>33</v>
      </c>
      <c r="D7" t="s">
        <v>75</v>
      </c>
      <c r="E7" t="s">
        <v>484</v>
      </c>
      <c r="F7" t="s">
        <v>485</v>
      </c>
      <c r="G7" t="s">
        <v>76</v>
      </c>
      <c r="H7" t="s">
        <v>77</v>
      </c>
      <c r="I7" t="s">
        <v>38</v>
      </c>
      <c r="J7" t="s">
        <v>39</v>
      </c>
      <c r="K7" t="s">
        <v>40</v>
      </c>
      <c r="L7" t="s">
        <v>78</v>
      </c>
      <c r="M7" t="s">
        <v>79</v>
      </c>
      <c r="N7">
        <v>1</v>
      </c>
      <c r="O7">
        <v>3.55</v>
      </c>
      <c r="P7">
        <v>3.55</v>
      </c>
      <c r="Q7">
        <v>0</v>
      </c>
      <c r="R7">
        <v>3.55</v>
      </c>
      <c r="S7">
        <v>1.69</v>
      </c>
      <c r="T7">
        <v>1.86</v>
      </c>
      <c r="U7" t="s">
        <v>72</v>
      </c>
      <c r="V7" t="s">
        <v>73</v>
      </c>
      <c r="W7">
        <v>5</v>
      </c>
      <c r="X7" s="25" t="s">
        <v>490</v>
      </c>
    </row>
    <row r="8" spans="1:24" x14ac:dyDescent="0.55000000000000004">
      <c r="A8" t="s">
        <v>80</v>
      </c>
      <c r="B8" s="24">
        <v>45300</v>
      </c>
      <c r="C8" t="s">
        <v>33</v>
      </c>
      <c r="D8" t="s">
        <v>81</v>
      </c>
      <c r="E8" t="s">
        <v>482</v>
      </c>
      <c r="F8" t="s">
        <v>483</v>
      </c>
      <c r="G8" t="s">
        <v>82</v>
      </c>
      <c r="H8" t="s">
        <v>83</v>
      </c>
      <c r="I8" t="s">
        <v>84</v>
      </c>
      <c r="J8" t="s">
        <v>39</v>
      </c>
      <c r="K8" t="s">
        <v>85</v>
      </c>
      <c r="L8" t="s">
        <v>66</v>
      </c>
      <c r="M8" t="s">
        <v>86</v>
      </c>
      <c r="N8">
        <v>2</v>
      </c>
      <c r="O8">
        <v>3.73</v>
      </c>
      <c r="P8">
        <v>7.46</v>
      </c>
      <c r="Q8">
        <v>0.37</v>
      </c>
      <c r="R8">
        <v>7.09</v>
      </c>
      <c r="S8">
        <v>3</v>
      </c>
      <c r="T8">
        <v>4.09</v>
      </c>
      <c r="U8" t="s">
        <v>43</v>
      </c>
      <c r="V8" t="s">
        <v>87</v>
      </c>
      <c r="W8">
        <v>4</v>
      </c>
      <c r="X8" s="25" t="s">
        <v>490</v>
      </c>
    </row>
    <row r="9" spans="1:24" x14ac:dyDescent="0.55000000000000004">
      <c r="A9" t="s">
        <v>88</v>
      </c>
      <c r="B9" s="24">
        <v>45300</v>
      </c>
      <c r="C9" t="s">
        <v>33</v>
      </c>
      <c r="D9" t="s">
        <v>81</v>
      </c>
      <c r="E9" t="s">
        <v>482</v>
      </c>
      <c r="F9" t="s">
        <v>483</v>
      </c>
      <c r="G9" t="s">
        <v>89</v>
      </c>
      <c r="H9" t="s">
        <v>90</v>
      </c>
      <c r="I9" t="s">
        <v>91</v>
      </c>
      <c r="J9" t="s">
        <v>39</v>
      </c>
      <c r="K9" t="s">
        <v>92</v>
      </c>
      <c r="L9" t="s">
        <v>52</v>
      </c>
      <c r="M9" t="s">
        <v>53</v>
      </c>
      <c r="N9">
        <v>3</v>
      </c>
      <c r="O9">
        <v>2.5499999999999998</v>
      </c>
      <c r="P9">
        <v>7.65</v>
      </c>
      <c r="Q9">
        <v>0</v>
      </c>
      <c r="R9">
        <v>7.65</v>
      </c>
      <c r="S9">
        <v>2.82</v>
      </c>
      <c r="T9">
        <v>4.83</v>
      </c>
      <c r="U9" t="s">
        <v>93</v>
      </c>
      <c r="V9" t="s">
        <v>44</v>
      </c>
      <c r="W9">
        <v>4</v>
      </c>
      <c r="X9" s="25" t="s">
        <v>490</v>
      </c>
    </row>
    <row r="10" spans="1:24" x14ac:dyDescent="0.55000000000000004">
      <c r="A10" t="s">
        <v>94</v>
      </c>
      <c r="B10" s="24">
        <v>45301</v>
      </c>
      <c r="C10" t="s">
        <v>33</v>
      </c>
      <c r="D10" t="s">
        <v>34</v>
      </c>
      <c r="E10" t="s">
        <v>484</v>
      </c>
      <c r="F10" t="s">
        <v>485</v>
      </c>
      <c r="G10" t="s">
        <v>82</v>
      </c>
      <c r="H10" t="s">
        <v>83</v>
      </c>
      <c r="I10" t="s">
        <v>84</v>
      </c>
      <c r="J10" t="s">
        <v>39</v>
      </c>
      <c r="K10" t="s">
        <v>85</v>
      </c>
      <c r="L10" t="s">
        <v>66</v>
      </c>
      <c r="M10" t="s">
        <v>95</v>
      </c>
      <c r="N10">
        <v>1</v>
      </c>
      <c r="O10">
        <v>1.96</v>
      </c>
      <c r="P10">
        <v>1.96</v>
      </c>
      <c r="Q10">
        <v>0.1</v>
      </c>
      <c r="R10">
        <v>1.86</v>
      </c>
      <c r="S10">
        <v>0.68</v>
      </c>
      <c r="T10">
        <v>1.18</v>
      </c>
      <c r="U10" t="s">
        <v>54</v>
      </c>
      <c r="V10" t="s">
        <v>63</v>
      </c>
      <c r="W10">
        <v>5</v>
      </c>
      <c r="X10" s="25" t="s">
        <v>490</v>
      </c>
    </row>
    <row r="11" spans="1:24" x14ac:dyDescent="0.55000000000000004">
      <c r="A11" t="s">
        <v>96</v>
      </c>
      <c r="B11" s="24">
        <v>45303</v>
      </c>
      <c r="C11" t="s">
        <v>33</v>
      </c>
      <c r="D11" t="s">
        <v>57</v>
      </c>
      <c r="E11" t="s">
        <v>482</v>
      </c>
      <c r="F11" t="s">
        <v>483</v>
      </c>
      <c r="G11" t="s">
        <v>58</v>
      </c>
      <c r="H11" t="s">
        <v>59</v>
      </c>
      <c r="I11" t="s">
        <v>60</v>
      </c>
      <c r="J11" t="s">
        <v>39</v>
      </c>
      <c r="K11" t="s">
        <v>40</v>
      </c>
      <c r="L11" t="s">
        <v>78</v>
      </c>
      <c r="M11" t="s">
        <v>97</v>
      </c>
      <c r="N11">
        <v>2</v>
      </c>
      <c r="O11">
        <v>3.27</v>
      </c>
      <c r="P11">
        <v>6.54</v>
      </c>
      <c r="Q11">
        <v>0</v>
      </c>
      <c r="R11">
        <v>6.54</v>
      </c>
      <c r="S11">
        <v>2.89</v>
      </c>
      <c r="T11">
        <v>3.65</v>
      </c>
      <c r="U11" t="s">
        <v>93</v>
      </c>
      <c r="V11" t="s">
        <v>55</v>
      </c>
      <c r="W11">
        <v>5</v>
      </c>
      <c r="X11" s="25" t="s">
        <v>490</v>
      </c>
    </row>
    <row r="12" spans="1:24" x14ac:dyDescent="0.55000000000000004">
      <c r="A12" t="s">
        <v>98</v>
      </c>
      <c r="B12" s="24">
        <v>45305</v>
      </c>
      <c r="C12" t="s">
        <v>33</v>
      </c>
      <c r="D12" t="s">
        <v>99</v>
      </c>
      <c r="E12" t="s">
        <v>486</v>
      </c>
      <c r="F12" t="s">
        <v>487</v>
      </c>
      <c r="G12" t="s">
        <v>76</v>
      </c>
      <c r="H12" t="s">
        <v>77</v>
      </c>
      <c r="I12" t="s">
        <v>38</v>
      </c>
      <c r="J12" t="s">
        <v>39</v>
      </c>
      <c r="K12" t="s">
        <v>40</v>
      </c>
      <c r="L12" t="s">
        <v>100</v>
      </c>
      <c r="M12" t="s">
        <v>101</v>
      </c>
      <c r="N12">
        <v>3</v>
      </c>
      <c r="O12">
        <v>3.44</v>
      </c>
      <c r="P12">
        <v>10.32</v>
      </c>
      <c r="Q12">
        <v>0</v>
      </c>
      <c r="R12">
        <v>10.32</v>
      </c>
      <c r="S12">
        <v>3.97</v>
      </c>
      <c r="T12">
        <v>6.35</v>
      </c>
      <c r="U12" t="s">
        <v>102</v>
      </c>
      <c r="V12" t="s">
        <v>44</v>
      </c>
      <c r="W12">
        <v>4</v>
      </c>
      <c r="X12" s="25" t="s">
        <v>490</v>
      </c>
    </row>
    <row r="13" spans="1:24" x14ac:dyDescent="0.55000000000000004">
      <c r="A13" t="s">
        <v>103</v>
      </c>
      <c r="B13" s="24">
        <v>45306</v>
      </c>
      <c r="C13" t="s">
        <v>33</v>
      </c>
      <c r="D13" t="s">
        <v>75</v>
      </c>
      <c r="E13" t="s">
        <v>484</v>
      </c>
      <c r="F13" t="s">
        <v>485</v>
      </c>
      <c r="G13" t="s">
        <v>104</v>
      </c>
      <c r="H13" t="s">
        <v>105</v>
      </c>
      <c r="I13" t="s">
        <v>106</v>
      </c>
      <c r="J13" t="s">
        <v>39</v>
      </c>
      <c r="K13" t="s">
        <v>85</v>
      </c>
      <c r="L13" t="s">
        <v>66</v>
      </c>
      <c r="M13" t="s">
        <v>107</v>
      </c>
      <c r="N13">
        <v>1</v>
      </c>
      <c r="O13">
        <v>3.76</v>
      </c>
      <c r="P13">
        <v>3.76</v>
      </c>
      <c r="Q13">
        <v>0</v>
      </c>
      <c r="R13">
        <v>3.76</v>
      </c>
      <c r="S13">
        <v>1.72</v>
      </c>
      <c r="T13">
        <v>2.04</v>
      </c>
      <c r="U13" t="s">
        <v>43</v>
      </c>
      <c r="V13" t="s">
        <v>73</v>
      </c>
      <c r="W13">
        <v>3</v>
      </c>
      <c r="X13" s="25" t="s">
        <v>490</v>
      </c>
    </row>
    <row r="14" spans="1:24" x14ac:dyDescent="0.55000000000000004">
      <c r="A14" t="s">
        <v>108</v>
      </c>
      <c r="B14" s="24">
        <v>45307</v>
      </c>
      <c r="C14" t="s">
        <v>33</v>
      </c>
      <c r="D14" t="s">
        <v>81</v>
      </c>
      <c r="E14" t="s">
        <v>482</v>
      </c>
      <c r="F14" t="s">
        <v>483</v>
      </c>
      <c r="G14" t="s">
        <v>82</v>
      </c>
      <c r="H14" t="s">
        <v>83</v>
      </c>
      <c r="I14" t="s">
        <v>84</v>
      </c>
      <c r="J14" t="s">
        <v>39</v>
      </c>
      <c r="K14" t="s">
        <v>85</v>
      </c>
      <c r="L14" t="s">
        <v>41</v>
      </c>
      <c r="M14" t="s">
        <v>109</v>
      </c>
      <c r="N14">
        <v>2</v>
      </c>
      <c r="O14">
        <v>2.42</v>
      </c>
      <c r="P14">
        <v>4.84</v>
      </c>
      <c r="Q14">
        <v>0</v>
      </c>
      <c r="R14">
        <v>4.84</v>
      </c>
      <c r="S14">
        <v>2.3199999999999998</v>
      </c>
      <c r="T14">
        <v>2.52</v>
      </c>
      <c r="U14" t="s">
        <v>43</v>
      </c>
      <c r="V14" t="s">
        <v>63</v>
      </c>
      <c r="W14">
        <v>4</v>
      </c>
      <c r="X14" s="25" t="s">
        <v>490</v>
      </c>
    </row>
    <row r="15" spans="1:24" x14ac:dyDescent="0.55000000000000004">
      <c r="A15" t="s">
        <v>110</v>
      </c>
      <c r="B15" s="24">
        <v>45309</v>
      </c>
      <c r="C15" t="s">
        <v>33</v>
      </c>
      <c r="D15" t="s">
        <v>46</v>
      </c>
      <c r="E15" t="s">
        <v>486</v>
      </c>
      <c r="F15" t="s">
        <v>487</v>
      </c>
      <c r="G15" t="s">
        <v>76</v>
      </c>
      <c r="H15" t="s">
        <v>77</v>
      </c>
      <c r="I15" t="s">
        <v>38</v>
      </c>
      <c r="J15" t="s">
        <v>39</v>
      </c>
      <c r="K15" t="s">
        <v>40</v>
      </c>
      <c r="L15" t="s">
        <v>100</v>
      </c>
      <c r="M15" t="s">
        <v>111</v>
      </c>
      <c r="N15">
        <v>3</v>
      </c>
      <c r="O15">
        <v>5.94</v>
      </c>
      <c r="P15">
        <v>17.82</v>
      </c>
      <c r="Q15">
        <v>0</v>
      </c>
      <c r="R15">
        <v>17.82</v>
      </c>
      <c r="S15">
        <v>8.26</v>
      </c>
      <c r="T15">
        <v>9.56</v>
      </c>
      <c r="U15" t="s">
        <v>43</v>
      </c>
      <c r="V15" t="s">
        <v>44</v>
      </c>
      <c r="W15">
        <v>4</v>
      </c>
      <c r="X15" s="25" t="s">
        <v>490</v>
      </c>
    </row>
    <row r="16" spans="1:24" x14ac:dyDescent="0.55000000000000004">
      <c r="A16" t="s">
        <v>112</v>
      </c>
      <c r="B16" s="24">
        <v>45311</v>
      </c>
      <c r="C16" t="s">
        <v>33</v>
      </c>
      <c r="D16" t="s">
        <v>69</v>
      </c>
      <c r="E16" t="s">
        <v>482</v>
      </c>
      <c r="F16" t="s">
        <v>483</v>
      </c>
      <c r="G16" t="s">
        <v>76</v>
      </c>
      <c r="H16" t="s">
        <v>77</v>
      </c>
      <c r="I16" t="s">
        <v>38</v>
      </c>
      <c r="J16" t="s">
        <v>39</v>
      </c>
      <c r="K16" t="s">
        <v>40</v>
      </c>
      <c r="L16" t="s">
        <v>78</v>
      </c>
      <c r="M16" t="s">
        <v>79</v>
      </c>
      <c r="N16">
        <v>4</v>
      </c>
      <c r="O16">
        <v>3.39</v>
      </c>
      <c r="P16">
        <v>13.56</v>
      </c>
      <c r="Q16">
        <v>1.36</v>
      </c>
      <c r="R16">
        <v>12.2</v>
      </c>
      <c r="S16">
        <v>6.19</v>
      </c>
      <c r="T16">
        <v>6.01</v>
      </c>
      <c r="U16" t="s">
        <v>93</v>
      </c>
      <c r="V16" t="s">
        <v>73</v>
      </c>
      <c r="W16">
        <v>5</v>
      </c>
      <c r="X16" s="25" t="s">
        <v>491</v>
      </c>
    </row>
    <row r="17" spans="1:24" x14ac:dyDescent="0.55000000000000004">
      <c r="A17" t="s">
        <v>113</v>
      </c>
      <c r="B17" s="24">
        <v>45313</v>
      </c>
      <c r="C17" t="s">
        <v>33</v>
      </c>
      <c r="D17" t="s">
        <v>75</v>
      </c>
      <c r="E17" t="s">
        <v>488</v>
      </c>
      <c r="F17" t="s">
        <v>489</v>
      </c>
      <c r="G17" t="s">
        <v>114</v>
      </c>
      <c r="H17" t="s">
        <v>115</v>
      </c>
      <c r="I17" t="s">
        <v>116</v>
      </c>
      <c r="J17" t="s">
        <v>39</v>
      </c>
      <c r="K17" t="s">
        <v>51</v>
      </c>
      <c r="L17" t="s">
        <v>100</v>
      </c>
      <c r="M17" t="s">
        <v>117</v>
      </c>
      <c r="N17">
        <v>4</v>
      </c>
      <c r="O17">
        <v>3.36</v>
      </c>
      <c r="P17">
        <v>13.44</v>
      </c>
      <c r="Q17">
        <v>0.67</v>
      </c>
      <c r="R17">
        <v>12.77</v>
      </c>
      <c r="S17">
        <v>5.93</v>
      </c>
      <c r="T17">
        <v>6.84</v>
      </c>
      <c r="U17" t="s">
        <v>54</v>
      </c>
      <c r="V17" t="s">
        <v>73</v>
      </c>
      <c r="W17">
        <v>4</v>
      </c>
      <c r="X17" s="25" t="s">
        <v>490</v>
      </c>
    </row>
    <row r="18" spans="1:24" x14ac:dyDescent="0.55000000000000004">
      <c r="A18" t="s">
        <v>118</v>
      </c>
      <c r="B18" s="24">
        <v>45314</v>
      </c>
      <c r="C18" t="s">
        <v>33</v>
      </c>
      <c r="D18" t="s">
        <v>81</v>
      </c>
      <c r="E18" t="s">
        <v>484</v>
      </c>
      <c r="F18" t="s">
        <v>485</v>
      </c>
      <c r="G18" t="s">
        <v>36</v>
      </c>
      <c r="H18" t="s">
        <v>37</v>
      </c>
      <c r="I18" t="s">
        <v>38</v>
      </c>
      <c r="J18" t="s">
        <v>39</v>
      </c>
      <c r="K18" t="s">
        <v>40</v>
      </c>
      <c r="L18" t="s">
        <v>61</v>
      </c>
      <c r="M18" t="s">
        <v>119</v>
      </c>
      <c r="N18">
        <v>3</v>
      </c>
      <c r="O18">
        <v>6.94</v>
      </c>
      <c r="P18">
        <v>20.82</v>
      </c>
      <c r="Q18">
        <v>4.16</v>
      </c>
      <c r="R18">
        <v>16.66</v>
      </c>
      <c r="S18">
        <v>6.11</v>
      </c>
      <c r="T18">
        <v>10.55</v>
      </c>
      <c r="U18" t="s">
        <v>102</v>
      </c>
      <c r="V18" t="s">
        <v>87</v>
      </c>
      <c r="W18">
        <v>5</v>
      </c>
      <c r="X18" s="25" t="s">
        <v>492</v>
      </c>
    </row>
    <row r="19" spans="1:24" x14ac:dyDescent="0.55000000000000004">
      <c r="A19" t="s">
        <v>120</v>
      </c>
      <c r="B19" s="24">
        <v>45317</v>
      </c>
      <c r="C19" t="s">
        <v>33</v>
      </c>
      <c r="D19" t="s">
        <v>57</v>
      </c>
      <c r="E19" t="s">
        <v>484</v>
      </c>
      <c r="F19" t="s">
        <v>485</v>
      </c>
      <c r="G19" t="s">
        <v>76</v>
      </c>
      <c r="H19" t="s">
        <v>77</v>
      </c>
      <c r="I19" t="s">
        <v>38</v>
      </c>
      <c r="J19" t="s">
        <v>39</v>
      </c>
      <c r="K19" t="s">
        <v>40</v>
      </c>
      <c r="L19" t="s">
        <v>61</v>
      </c>
      <c r="M19" t="s">
        <v>121</v>
      </c>
      <c r="N19">
        <v>4</v>
      </c>
      <c r="O19">
        <v>9.57</v>
      </c>
      <c r="P19">
        <v>38.28</v>
      </c>
      <c r="Q19">
        <v>1.91</v>
      </c>
      <c r="R19">
        <v>36.369999999999997</v>
      </c>
      <c r="S19">
        <v>14.69</v>
      </c>
      <c r="T19">
        <v>21.68</v>
      </c>
      <c r="U19" t="s">
        <v>72</v>
      </c>
      <c r="V19" t="s">
        <v>87</v>
      </c>
      <c r="W19">
        <v>5</v>
      </c>
      <c r="X19" s="25" t="s">
        <v>490</v>
      </c>
    </row>
    <row r="20" spans="1:24" x14ac:dyDescent="0.55000000000000004">
      <c r="A20" t="s">
        <v>122</v>
      </c>
      <c r="B20" s="24">
        <v>45318</v>
      </c>
      <c r="C20" t="s">
        <v>33</v>
      </c>
      <c r="D20" t="s">
        <v>69</v>
      </c>
      <c r="E20" t="s">
        <v>486</v>
      </c>
      <c r="F20" t="s">
        <v>487</v>
      </c>
      <c r="G20" t="s">
        <v>82</v>
      </c>
      <c r="H20" t="s">
        <v>83</v>
      </c>
      <c r="I20" t="s">
        <v>84</v>
      </c>
      <c r="J20" t="s">
        <v>39</v>
      </c>
      <c r="K20" t="s">
        <v>85</v>
      </c>
      <c r="L20" t="s">
        <v>52</v>
      </c>
      <c r="M20" t="s">
        <v>53</v>
      </c>
      <c r="N20">
        <v>3</v>
      </c>
      <c r="O20">
        <v>2.42</v>
      </c>
      <c r="P20">
        <v>7.26</v>
      </c>
      <c r="Q20">
        <v>0</v>
      </c>
      <c r="R20">
        <v>7.26</v>
      </c>
      <c r="S20">
        <v>2.73</v>
      </c>
      <c r="T20">
        <v>4.53</v>
      </c>
      <c r="U20" t="s">
        <v>123</v>
      </c>
      <c r="V20" t="s">
        <v>44</v>
      </c>
      <c r="W20">
        <v>4</v>
      </c>
      <c r="X20" s="25" t="s">
        <v>490</v>
      </c>
    </row>
    <row r="21" spans="1:24" x14ac:dyDescent="0.55000000000000004">
      <c r="A21" t="s">
        <v>124</v>
      </c>
      <c r="B21" s="24">
        <v>45318</v>
      </c>
      <c r="C21" t="s">
        <v>33</v>
      </c>
      <c r="D21" t="s">
        <v>69</v>
      </c>
      <c r="E21" t="s">
        <v>482</v>
      </c>
      <c r="F21" t="s">
        <v>483</v>
      </c>
      <c r="G21" t="s">
        <v>76</v>
      </c>
      <c r="H21" t="s">
        <v>77</v>
      </c>
      <c r="I21" t="s">
        <v>38</v>
      </c>
      <c r="J21" t="s">
        <v>39</v>
      </c>
      <c r="K21" t="s">
        <v>40</v>
      </c>
      <c r="L21" t="s">
        <v>41</v>
      </c>
      <c r="M21" t="s">
        <v>125</v>
      </c>
      <c r="N21">
        <v>5</v>
      </c>
      <c r="O21">
        <v>2.87</v>
      </c>
      <c r="P21">
        <v>14.35</v>
      </c>
      <c r="Q21">
        <v>0</v>
      </c>
      <c r="R21">
        <v>14.35</v>
      </c>
      <c r="S21">
        <v>6.36</v>
      </c>
      <c r="T21">
        <v>7.99</v>
      </c>
      <c r="U21" t="s">
        <v>123</v>
      </c>
      <c r="V21" t="s">
        <v>55</v>
      </c>
      <c r="W21">
        <v>3</v>
      </c>
      <c r="X21" s="25" t="s">
        <v>490</v>
      </c>
    </row>
    <row r="22" spans="1:24" x14ac:dyDescent="0.55000000000000004">
      <c r="A22" t="s">
        <v>126</v>
      </c>
      <c r="B22" s="24">
        <v>45318</v>
      </c>
      <c r="C22" t="s">
        <v>33</v>
      </c>
      <c r="D22" t="s">
        <v>69</v>
      </c>
      <c r="E22" t="s">
        <v>486</v>
      </c>
      <c r="F22" t="s">
        <v>487</v>
      </c>
      <c r="G22" t="s">
        <v>36</v>
      </c>
      <c r="H22" t="s">
        <v>37</v>
      </c>
      <c r="I22" t="s">
        <v>38</v>
      </c>
      <c r="J22" t="s">
        <v>39</v>
      </c>
      <c r="K22" t="s">
        <v>40</v>
      </c>
      <c r="L22" t="s">
        <v>66</v>
      </c>
      <c r="M22" t="s">
        <v>67</v>
      </c>
      <c r="N22">
        <v>1</v>
      </c>
      <c r="O22">
        <v>0.99</v>
      </c>
      <c r="P22">
        <v>0.99</v>
      </c>
      <c r="Q22">
        <v>0.15</v>
      </c>
      <c r="R22">
        <v>0.84</v>
      </c>
      <c r="S22">
        <v>0.38</v>
      </c>
      <c r="T22">
        <v>0.46</v>
      </c>
      <c r="U22" t="s">
        <v>102</v>
      </c>
      <c r="V22" t="s">
        <v>73</v>
      </c>
      <c r="W22">
        <v>5</v>
      </c>
      <c r="X22" s="25" t="s">
        <v>493</v>
      </c>
    </row>
    <row r="23" spans="1:24" x14ac:dyDescent="0.55000000000000004">
      <c r="A23" t="s">
        <v>127</v>
      </c>
      <c r="B23" s="24">
        <v>45318</v>
      </c>
      <c r="C23" t="s">
        <v>33</v>
      </c>
      <c r="D23" t="s">
        <v>69</v>
      </c>
      <c r="E23" t="s">
        <v>482</v>
      </c>
      <c r="F23" t="s">
        <v>483</v>
      </c>
      <c r="G23" t="s">
        <v>48</v>
      </c>
      <c r="H23" t="s">
        <v>49</v>
      </c>
      <c r="I23" t="s">
        <v>50</v>
      </c>
      <c r="J23" t="s">
        <v>39</v>
      </c>
      <c r="K23" t="s">
        <v>51</v>
      </c>
      <c r="L23" t="s">
        <v>66</v>
      </c>
      <c r="M23" t="s">
        <v>67</v>
      </c>
      <c r="N23">
        <v>4</v>
      </c>
      <c r="O23">
        <v>1.01</v>
      </c>
      <c r="P23">
        <v>4.04</v>
      </c>
      <c r="Q23">
        <v>0.2</v>
      </c>
      <c r="R23">
        <v>3.84</v>
      </c>
      <c r="S23">
        <v>1.44</v>
      </c>
      <c r="T23">
        <v>2.4</v>
      </c>
      <c r="U23" t="s">
        <v>102</v>
      </c>
      <c r="V23" t="s">
        <v>44</v>
      </c>
      <c r="W23">
        <v>4</v>
      </c>
      <c r="X23" s="25" t="s">
        <v>490</v>
      </c>
    </row>
    <row r="24" spans="1:24" x14ac:dyDescent="0.55000000000000004">
      <c r="A24" t="s">
        <v>128</v>
      </c>
      <c r="B24" s="24">
        <v>45320</v>
      </c>
      <c r="C24" t="s">
        <v>33</v>
      </c>
      <c r="D24" t="s">
        <v>75</v>
      </c>
      <c r="E24" t="s">
        <v>484</v>
      </c>
      <c r="F24" t="s">
        <v>485</v>
      </c>
      <c r="G24" t="s">
        <v>82</v>
      </c>
      <c r="H24" t="s">
        <v>83</v>
      </c>
      <c r="I24" t="s">
        <v>84</v>
      </c>
      <c r="J24" t="s">
        <v>39</v>
      </c>
      <c r="K24" t="s">
        <v>85</v>
      </c>
      <c r="L24" t="s">
        <v>61</v>
      </c>
      <c r="M24" t="s">
        <v>121</v>
      </c>
      <c r="N24">
        <v>1</v>
      </c>
      <c r="O24">
        <v>9.3000000000000007</v>
      </c>
      <c r="P24">
        <v>9.3000000000000007</v>
      </c>
      <c r="Q24">
        <v>1.4</v>
      </c>
      <c r="R24">
        <v>7.9</v>
      </c>
      <c r="S24">
        <v>3.12</v>
      </c>
      <c r="T24">
        <v>4.78</v>
      </c>
      <c r="U24" t="s">
        <v>43</v>
      </c>
      <c r="V24" t="s">
        <v>55</v>
      </c>
      <c r="W24">
        <v>4</v>
      </c>
      <c r="X24" s="25" t="s">
        <v>493</v>
      </c>
    </row>
    <row r="25" spans="1:24" x14ac:dyDescent="0.55000000000000004">
      <c r="A25" t="s">
        <v>129</v>
      </c>
      <c r="B25" s="24">
        <v>45321</v>
      </c>
      <c r="C25" t="s">
        <v>33</v>
      </c>
      <c r="D25" t="s">
        <v>81</v>
      </c>
      <c r="E25" t="s">
        <v>486</v>
      </c>
      <c r="F25" t="s">
        <v>487</v>
      </c>
      <c r="G25" t="s">
        <v>82</v>
      </c>
      <c r="H25" t="s">
        <v>83</v>
      </c>
      <c r="I25" t="s">
        <v>84</v>
      </c>
      <c r="J25" t="s">
        <v>39</v>
      </c>
      <c r="K25" t="s">
        <v>85</v>
      </c>
      <c r="L25" t="s">
        <v>52</v>
      </c>
      <c r="M25" t="s">
        <v>53</v>
      </c>
      <c r="N25">
        <v>1</v>
      </c>
      <c r="O25">
        <v>2.5299999999999998</v>
      </c>
      <c r="P25">
        <v>2.5299999999999998</v>
      </c>
      <c r="Q25">
        <v>0.13</v>
      </c>
      <c r="R25">
        <v>2.4</v>
      </c>
      <c r="S25">
        <v>1.3</v>
      </c>
      <c r="T25">
        <v>1.1000000000000001</v>
      </c>
      <c r="U25" t="s">
        <v>93</v>
      </c>
      <c r="V25" t="s">
        <v>87</v>
      </c>
      <c r="W25">
        <v>5</v>
      </c>
      <c r="X25" s="25" t="s">
        <v>490</v>
      </c>
    </row>
    <row r="26" spans="1:24" x14ac:dyDescent="0.55000000000000004">
      <c r="A26" t="s">
        <v>130</v>
      </c>
      <c r="B26" s="24">
        <v>45322</v>
      </c>
      <c r="C26" t="s">
        <v>33</v>
      </c>
      <c r="D26" t="s">
        <v>34</v>
      </c>
      <c r="E26" t="s">
        <v>484</v>
      </c>
      <c r="F26" t="s">
        <v>485</v>
      </c>
      <c r="G26" t="s">
        <v>131</v>
      </c>
      <c r="H26" t="s">
        <v>132</v>
      </c>
      <c r="I26" t="s">
        <v>133</v>
      </c>
      <c r="J26" t="s">
        <v>39</v>
      </c>
      <c r="K26" t="s">
        <v>134</v>
      </c>
      <c r="L26" t="s">
        <v>52</v>
      </c>
      <c r="M26" t="s">
        <v>135</v>
      </c>
      <c r="N26">
        <v>4</v>
      </c>
      <c r="O26">
        <v>1.96</v>
      </c>
      <c r="P26">
        <v>7.84</v>
      </c>
      <c r="Q26">
        <v>0</v>
      </c>
      <c r="R26">
        <v>7.84</v>
      </c>
      <c r="S26">
        <v>3.78</v>
      </c>
      <c r="T26">
        <v>4.0599999999999996</v>
      </c>
      <c r="U26" t="s">
        <v>93</v>
      </c>
      <c r="V26" t="s">
        <v>44</v>
      </c>
      <c r="W26">
        <v>4</v>
      </c>
      <c r="X26" s="25" t="s">
        <v>490</v>
      </c>
    </row>
    <row r="27" spans="1:24" x14ac:dyDescent="0.55000000000000004">
      <c r="A27" t="s">
        <v>136</v>
      </c>
      <c r="B27" s="24">
        <v>45323</v>
      </c>
      <c r="C27" t="s">
        <v>33</v>
      </c>
      <c r="D27" t="s">
        <v>46</v>
      </c>
      <c r="E27" t="s">
        <v>482</v>
      </c>
      <c r="F27" t="s">
        <v>483</v>
      </c>
      <c r="G27" t="s">
        <v>114</v>
      </c>
      <c r="H27" t="s">
        <v>115</v>
      </c>
      <c r="I27" t="s">
        <v>116</v>
      </c>
      <c r="J27" t="s">
        <v>39</v>
      </c>
      <c r="K27" t="s">
        <v>51</v>
      </c>
      <c r="L27" t="s">
        <v>61</v>
      </c>
      <c r="M27" t="s">
        <v>119</v>
      </c>
      <c r="N27">
        <v>5</v>
      </c>
      <c r="O27">
        <v>7.07</v>
      </c>
      <c r="P27">
        <v>35.35</v>
      </c>
      <c r="Q27">
        <v>5.3</v>
      </c>
      <c r="R27">
        <v>30.05</v>
      </c>
      <c r="S27">
        <v>13.96</v>
      </c>
      <c r="T27">
        <v>16.09</v>
      </c>
      <c r="U27" t="s">
        <v>93</v>
      </c>
      <c r="V27" t="s">
        <v>63</v>
      </c>
      <c r="W27">
        <v>2</v>
      </c>
      <c r="X27" s="25" t="s">
        <v>493</v>
      </c>
    </row>
    <row r="28" spans="1:24" x14ac:dyDescent="0.55000000000000004">
      <c r="A28" t="s">
        <v>137</v>
      </c>
      <c r="B28" s="24">
        <v>45324</v>
      </c>
      <c r="C28" t="s">
        <v>33</v>
      </c>
      <c r="D28" t="s">
        <v>57</v>
      </c>
      <c r="E28" t="s">
        <v>484</v>
      </c>
      <c r="F28" t="s">
        <v>485</v>
      </c>
      <c r="G28" t="s">
        <v>114</v>
      </c>
      <c r="H28" t="s">
        <v>115</v>
      </c>
      <c r="I28" t="s">
        <v>116</v>
      </c>
      <c r="J28" t="s">
        <v>39</v>
      </c>
      <c r="K28" t="s">
        <v>51</v>
      </c>
      <c r="L28" t="s">
        <v>78</v>
      </c>
      <c r="M28" t="s">
        <v>138</v>
      </c>
      <c r="N28">
        <v>2</v>
      </c>
      <c r="O28">
        <v>4.47</v>
      </c>
      <c r="P28">
        <v>8.94</v>
      </c>
      <c r="Q28">
        <v>0</v>
      </c>
      <c r="R28">
        <v>8.94</v>
      </c>
      <c r="S28">
        <v>3.88</v>
      </c>
      <c r="T28">
        <v>5.0599999999999996</v>
      </c>
      <c r="U28" t="s">
        <v>43</v>
      </c>
      <c r="V28" t="s">
        <v>73</v>
      </c>
      <c r="W28">
        <v>5</v>
      </c>
      <c r="X28" s="25" t="s">
        <v>490</v>
      </c>
    </row>
    <row r="29" spans="1:24" x14ac:dyDescent="0.55000000000000004">
      <c r="A29" t="s">
        <v>139</v>
      </c>
      <c r="B29" s="24">
        <v>45324</v>
      </c>
      <c r="C29" t="s">
        <v>33</v>
      </c>
      <c r="D29" t="s">
        <v>57</v>
      </c>
      <c r="E29" t="s">
        <v>488</v>
      </c>
      <c r="F29" t="s">
        <v>489</v>
      </c>
      <c r="G29" t="s">
        <v>89</v>
      </c>
      <c r="H29" t="s">
        <v>90</v>
      </c>
      <c r="I29" t="s">
        <v>91</v>
      </c>
      <c r="J29" t="s">
        <v>39</v>
      </c>
      <c r="K29" t="s">
        <v>92</v>
      </c>
      <c r="L29" t="s">
        <v>78</v>
      </c>
      <c r="M29" t="s">
        <v>79</v>
      </c>
      <c r="N29">
        <v>5</v>
      </c>
      <c r="O29">
        <v>3.56</v>
      </c>
      <c r="P29">
        <v>17.8</v>
      </c>
      <c r="Q29">
        <v>0</v>
      </c>
      <c r="R29">
        <v>17.8</v>
      </c>
      <c r="S29">
        <v>7.38</v>
      </c>
      <c r="T29">
        <v>10.42</v>
      </c>
      <c r="U29" t="s">
        <v>123</v>
      </c>
      <c r="V29" t="s">
        <v>55</v>
      </c>
      <c r="W29">
        <v>4</v>
      </c>
      <c r="X29" s="25" t="s">
        <v>490</v>
      </c>
    </row>
    <row r="30" spans="1:24" x14ac:dyDescent="0.55000000000000004">
      <c r="A30" t="s">
        <v>140</v>
      </c>
      <c r="B30" s="24">
        <v>45325</v>
      </c>
      <c r="C30" t="s">
        <v>33</v>
      </c>
      <c r="D30" t="s">
        <v>69</v>
      </c>
      <c r="E30" t="s">
        <v>484</v>
      </c>
      <c r="F30" t="s">
        <v>485</v>
      </c>
      <c r="G30" t="s">
        <v>58</v>
      </c>
      <c r="H30" t="s">
        <v>59</v>
      </c>
      <c r="I30" t="s">
        <v>60</v>
      </c>
      <c r="J30" t="s">
        <v>39</v>
      </c>
      <c r="K30" t="s">
        <v>40</v>
      </c>
      <c r="L30" t="s">
        <v>78</v>
      </c>
      <c r="M30" t="s">
        <v>141</v>
      </c>
      <c r="N30">
        <v>2</v>
      </c>
      <c r="O30">
        <v>6.59</v>
      </c>
      <c r="P30">
        <v>13.18</v>
      </c>
      <c r="Q30">
        <v>1.32</v>
      </c>
      <c r="R30">
        <v>11.86</v>
      </c>
      <c r="S30">
        <v>4.33</v>
      </c>
      <c r="T30">
        <v>7.53</v>
      </c>
      <c r="U30" t="s">
        <v>123</v>
      </c>
      <c r="V30" t="s">
        <v>73</v>
      </c>
      <c r="W30">
        <v>4</v>
      </c>
      <c r="X30" s="25" t="s">
        <v>491</v>
      </c>
    </row>
    <row r="31" spans="1:24" x14ac:dyDescent="0.55000000000000004">
      <c r="A31" t="s">
        <v>142</v>
      </c>
      <c r="B31" s="24">
        <v>45325</v>
      </c>
      <c r="C31" t="s">
        <v>33</v>
      </c>
      <c r="D31" t="s">
        <v>69</v>
      </c>
      <c r="E31" t="s">
        <v>482</v>
      </c>
      <c r="F31" t="s">
        <v>483</v>
      </c>
      <c r="G31" t="s">
        <v>114</v>
      </c>
      <c r="H31" t="s">
        <v>115</v>
      </c>
      <c r="I31" t="s">
        <v>116</v>
      </c>
      <c r="J31" t="s">
        <v>39</v>
      </c>
      <c r="K31" t="s">
        <v>51</v>
      </c>
      <c r="L31" t="s">
        <v>78</v>
      </c>
      <c r="M31" t="s">
        <v>143</v>
      </c>
      <c r="N31">
        <v>2</v>
      </c>
      <c r="O31">
        <v>2.82</v>
      </c>
      <c r="P31">
        <v>5.64</v>
      </c>
      <c r="Q31">
        <v>0</v>
      </c>
      <c r="R31">
        <v>5.64</v>
      </c>
      <c r="S31">
        <v>2.89</v>
      </c>
      <c r="T31">
        <v>2.75</v>
      </c>
      <c r="U31" t="s">
        <v>123</v>
      </c>
      <c r="V31" t="s">
        <v>144</v>
      </c>
      <c r="W31">
        <v>3</v>
      </c>
      <c r="X31" s="25" t="s">
        <v>490</v>
      </c>
    </row>
    <row r="32" spans="1:24" x14ac:dyDescent="0.55000000000000004">
      <c r="A32" t="s">
        <v>145</v>
      </c>
      <c r="B32" s="24">
        <v>45327</v>
      </c>
      <c r="C32" t="s">
        <v>33</v>
      </c>
      <c r="D32" t="s">
        <v>75</v>
      </c>
      <c r="E32" t="s">
        <v>482</v>
      </c>
      <c r="F32" t="s">
        <v>483</v>
      </c>
      <c r="G32" t="s">
        <v>76</v>
      </c>
      <c r="H32" t="s">
        <v>77</v>
      </c>
      <c r="I32" t="s">
        <v>38</v>
      </c>
      <c r="J32" t="s">
        <v>39</v>
      </c>
      <c r="K32" t="s">
        <v>40</v>
      </c>
      <c r="L32" t="s">
        <v>52</v>
      </c>
      <c r="M32" t="s">
        <v>135</v>
      </c>
      <c r="N32">
        <v>1</v>
      </c>
      <c r="O32">
        <v>1.99</v>
      </c>
      <c r="P32">
        <v>1.99</v>
      </c>
      <c r="Q32">
        <v>0</v>
      </c>
      <c r="R32">
        <v>1.99</v>
      </c>
      <c r="S32">
        <v>0.88</v>
      </c>
      <c r="T32">
        <v>1.1100000000000001</v>
      </c>
      <c r="U32" t="s">
        <v>93</v>
      </c>
      <c r="V32" t="s">
        <v>55</v>
      </c>
      <c r="W32">
        <v>5</v>
      </c>
      <c r="X32" s="25" t="s">
        <v>490</v>
      </c>
    </row>
    <row r="33" spans="1:24" x14ac:dyDescent="0.55000000000000004">
      <c r="A33" t="s">
        <v>146</v>
      </c>
      <c r="B33" s="24">
        <v>45328</v>
      </c>
      <c r="C33" t="s">
        <v>33</v>
      </c>
      <c r="D33" t="s">
        <v>81</v>
      </c>
      <c r="E33" t="s">
        <v>482</v>
      </c>
      <c r="F33" t="s">
        <v>483</v>
      </c>
      <c r="G33" t="s">
        <v>104</v>
      </c>
      <c r="H33" t="s">
        <v>105</v>
      </c>
      <c r="I33" t="s">
        <v>106</v>
      </c>
      <c r="J33" t="s">
        <v>39</v>
      </c>
      <c r="K33" t="s">
        <v>85</v>
      </c>
      <c r="L33" t="s">
        <v>41</v>
      </c>
      <c r="M33" t="s">
        <v>42</v>
      </c>
      <c r="N33">
        <v>2</v>
      </c>
      <c r="O33">
        <v>4.58</v>
      </c>
      <c r="P33">
        <v>9.16</v>
      </c>
      <c r="Q33">
        <v>1.37</v>
      </c>
      <c r="R33">
        <v>7.79</v>
      </c>
      <c r="S33">
        <v>3.41</v>
      </c>
      <c r="T33">
        <v>4.38</v>
      </c>
      <c r="U33" t="s">
        <v>72</v>
      </c>
      <c r="V33" t="s">
        <v>73</v>
      </c>
      <c r="W33">
        <v>5</v>
      </c>
      <c r="X33" s="25" t="s">
        <v>493</v>
      </c>
    </row>
    <row r="34" spans="1:24" x14ac:dyDescent="0.55000000000000004">
      <c r="A34" t="s">
        <v>147</v>
      </c>
      <c r="B34" s="24">
        <v>45328</v>
      </c>
      <c r="C34" t="s">
        <v>33</v>
      </c>
      <c r="D34" t="s">
        <v>81</v>
      </c>
      <c r="E34" t="s">
        <v>484</v>
      </c>
      <c r="F34" t="s">
        <v>485</v>
      </c>
      <c r="G34" t="s">
        <v>36</v>
      </c>
      <c r="H34" t="s">
        <v>37</v>
      </c>
      <c r="I34" t="s">
        <v>38</v>
      </c>
      <c r="J34" t="s">
        <v>39</v>
      </c>
      <c r="K34" t="s">
        <v>40</v>
      </c>
      <c r="L34" t="s">
        <v>78</v>
      </c>
      <c r="M34" t="s">
        <v>143</v>
      </c>
      <c r="N34">
        <v>3</v>
      </c>
      <c r="O34">
        <v>2.72</v>
      </c>
      <c r="P34">
        <v>8.16</v>
      </c>
      <c r="Q34">
        <v>0</v>
      </c>
      <c r="R34">
        <v>8.16</v>
      </c>
      <c r="S34">
        <v>4.29</v>
      </c>
      <c r="T34">
        <v>3.87</v>
      </c>
      <c r="U34" t="s">
        <v>93</v>
      </c>
      <c r="V34" t="s">
        <v>63</v>
      </c>
      <c r="W34">
        <v>5</v>
      </c>
      <c r="X34" s="25" t="s">
        <v>490</v>
      </c>
    </row>
    <row r="35" spans="1:24" x14ac:dyDescent="0.55000000000000004">
      <c r="A35" t="s">
        <v>148</v>
      </c>
      <c r="B35" s="24">
        <v>45329</v>
      </c>
      <c r="C35" t="s">
        <v>33</v>
      </c>
      <c r="D35" t="s">
        <v>34</v>
      </c>
      <c r="E35" t="s">
        <v>486</v>
      </c>
      <c r="F35" t="s">
        <v>487</v>
      </c>
      <c r="G35" t="s">
        <v>58</v>
      </c>
      <c r="H35" t="s">
        <v>59</v>
      </c>
      <c r="I35" t="s">
        <v>60</v>
      </c>
      <c r="J35" t="s">
        <v>39</v>
      </c>
      <c r="K35" t="s">
        <v>40</v>
      </c>
      <c r="L35" t="s">
        <v>78</v>
      </c>
      <c r="M35" t="s">
        <v>141</v>
      </c>
      <c r="N35">
        <v>1</v>
      </c>
      <c r="O35">
        <v>6.44</v>
      </c>
      <c r="P35">
        <v>6.44</v>
      </c>
      <c r="Q35">
        <v>0</v>
      </c>
      <c r="R35">
        <v>6.44</v>
      </c>
      <c r="S35">
        <v>3.08</v>
      </c>
      <c r="T35">
        <v>3.36</v>
      </c>
      <c r="U35" t="s">
        <v>102</v>
      </c>
      <c r="V35" t="s">
        <v>87</v>
      </c>
      <c r="W35">
        <v>4</v>
      </c>
      <c r="X35" s="25" t="s">
        <v>490</v>
      </c>
    </row>
    <row r="36" spans="1:24" x14ac:dyDescent="0.55000000000000004">
      <c r="A36" t="s">
        <v>149</v>
      </c>
      <c r="B36" s="24">
        <v>45330</v>
      </c>
      <c r="C36" t="s">
        <v>33</v>
      </c>
      <c r="D36" t="s">
        <v>46</v>
      </c>
      <c r="E36" t="s">
        <v>488</v>
      </c>
      <c r="F36" t="s">
        <v>489</v>
      </c>
      <c r="G36" t="s">
        <v>104</v>
      </c>
      <c r="H36" t="s">
        <v>105</v>
      </c>
      <c r="I36" t="s">
        <v>106</v>
      </c>
      <c r="J36" t="s">
        <v>39</v>
      </c>
      <c r="K36" t="s">
        <v>85</v>
      </c>
      <c r="L36" t="s">
        <v>100</v>
      </c>
      <c r="M36" t="s">
        <v>117</v>
      </c>
      <c r="N36">
        <v>1</v>
      </c>
      <c r="O36">
        <v>3.32</v>
      </c>
      <c r="P36">
        <v>3.32</v>
      </c>
      <c r="Q36">
        <v>0</v>
      </c>
      <c r="R36">
        <v>3.32</v>
      </c>
      <c r="S36">
        <v>1.26</v>
      </c>
      <c r="T36">
        <v>2.06</v>
      </c>
      <c r="U36" t="s">
        <v>93</v>
      </c>
      <c r="V36" t="s">
        <v>87</v>
      </c>
      <c r="W36">
        <v>4</v>
      </c>
      <c r="X36" s="25" t="s">
        <v>490</v>
      </c>
    </row>
    <row r="37" spans="1:24" x14ac:dyDescent="0.55000000000000004">
      <c r="A37" t="s">
        <v>150</v>
      </c>
      <c r="B37" s="24">
        <v>45330</v>
      </c>
      <c r="C37" t="s">
        <v>33</v>
      </c>
      <c r="D37" t="s">
        <v>46</v>
      </c>
      <c r="E37" t="s">
        <v>482</v>
      </c>
      <c r="F37" t="s">
        <v>483</v>
      </c>
      <c r="G37" t="s">
        <v>82</v>
      </c>
      <c r="H37" t="s">
        <v>83</v>
      </c>
      <c r="I37" t="s">
        <v>84</v>
      </c>
      <c r="J37" t="s">
        <v>39</v>
      </c>
      <c r="K37" t="s">
        <v>85</v>
      </c>
      <c r="L37" t="s">
        <v>66</v>
      </c>
      <c r="M37" t="s">
        <v>86</v>
      </c>
      <c r="N37">
        <v>2</v>
      </c>
      <c r="O37">
        <v>3.9</v>
      </c>
      <c r="P37">
        <v>7.8</v>
      </c>
      <c r="Q37">
        <v>0</v>
      </c>
      <c r="R37">
        <v>7.8</v>
      </c>
      <c r="S37">
        <v>2.81</v>
      </c>
      <c r="T37">
        <v>4.99</v>
      </c>
      <c r="U37" t="s">
        <v>93</v>
      </c>
      <c r="V37" t="s">
        <v>144</v>
      </c>
      <c r="W37">
        <v>4</v>
      </c>
      <c r="X37" s="25" t="s">
        <v>490</v>
      </c>
    </row>
    <row r="38" spans="1:24" x14ac:dyDescent="0.55000000000000004">
      <c r="A38" t="s">
        <v>151</v>
      </c>
      <c r="B38" s="24">
        <v>45330</v>
      </c>
      <c r="C38" t="s">
        <v>33</v>
      </c>
      <c r="D38" t="s">
        <v>46</v>
      </c>
      <c r="E38" t="s">
        <v>488</v>
      </c>
      <c r="F38" t="s">
        <v>489</v>
      </c>
      <c r="G38" t="s">
        <v>58</v>
      </c>
      <c r="H38" t="s">
        <v>59</v>
      </c>
      <c r="I38" t="s">
        <v>60</v>
      </c>
      <c r="J38" t="s">
        <v>39</v>
      </c>
      <c r="K38" t="s">
        <v>40</v>
      </c>
      <c r="L38" t="s">
        <v>61</v>
      </c>
      <c r="M38" t="s">
        <v>62</v>
      </c>
      <c r="N38">
        <v>1</v>
      </c>
      <c r="O38">
        <v>10.71</v>
      </c>
      <c r="P38">
        <v>10.71</v>
      </c>
      <c r="Q38">
        <v>0</v>
      </c>
      <c r="R38">
        <v>10.71</v>
      </c>
      <c r="S38">
        <v>4.1900000000000004</v>
      </c>
      <c r="T38">
        <v>6.52</v>
      </c>
      <c r="U38" t="s">
        <v>93</v>
      </c>
      <c r="V38" t="s">
        <v>73</v>
      </c>
      <c r="W38">
        <v>5</v>
      </c>
      <c r="X38" s="25" t="s">
        <v>490</v>
      </c>
    </row>
    <row r="39" spans="1:24" x14ac:dyDescent="0.55000000000000004">
      <c r="A39" t="s">
        <v>152</v>
      </c>
      <c r="B39" s="24">
        <v>45331</v>
      </c>
      <c r="C39" t="s">
        <v>33</v>
      </c>
      <c r="D39" t="s">
        <v>57</v>
      </c>
      <c r="E39" t="s">
        <v>484</v>
      </c>
      <c r="F39" t="s">
        <v>485</v>
      </c>
      <c r="G39" t="s">
        <v>58</v>
      </c>
      <c r="H39" t="s">
        <v>59</v>
      </c>
      <c r="I39" t="s">
        <v>60</v>
      </c>
      <c r="J39" t="s">
        <v>39</v>
      </c>
      <c r="K39" t="s">
        <v>40</v>
      </c>
      <c r="L39" t="s">
        <v>41</v>
      </c>
      <c r="M39" t="s">
        <v>42</v>
      </c>
      <c r="N39">
        <v>1</v>
      </c>
      <c r="O39">
        <v>4.5999999999999996</v>
      </c>
      <c r="P39">
        <v>4.5999999999999996</v>
      </c>
      <c r="Q39">
        <v>0</v>
      </c>
      <c r="R39">
        <v>4.5999999999999996</v>
      </c>
      <c r="S39">
        <v>1.75</v>
      </c>
      <c r="T39">
        <v>2.85</v>
      </c>
      <c r="U39" t="s">
        <v>72</v>
      </c>
      <c r="V39" t="s">
        <v>73</v>
      </c>
      <c r="W39">
        <v>5</v>
      </c>
      <c r="X39" s="25" t="s">
        <v>490</v>
      </c>
    </row>
    <row r="40" spans="1:24" x14ac:dyDescent="0.55000000000000004">
      <c r="A40" t="s">
        <v>153</v>
      </c>
      <c r="B40" s="24">
        <v>45332</v>
      </c>
      <c r="C40" t="s">
        <v>33</v>
      </c>
      <c r="D40" t="s">
        <v>69</v>
      </c>
      <c r="E40" t="s">
        <v>488</v>
      </c>
      <c r="F40" t="s">
        <v>489</v>
      </c>
      <c r="G40" t="s">
        <v>114</v>
      </c>
      <c r="H40" t="s">
        <v>115</v>
      </c>
      <c r="I40" t="s">
        <v>116</v>
      </c>
      <c r="J40" t="s">
        <v>39</v>
      </c>
      <c r="K40" t="s">
        <v>51</v>
      </c>
      <c r="L40" t="s">
        <v>41</v>
      </c>
      <c r="M40" t="s">
        <v>154</v>
      </c>
      <c r="N40">
        <v>1</v>
      </c>
      <c r="O40">
        <v>1.5</v>
      </c>
      <c r="P40">
        <v>1.5</v>
      </c>
      <c r="Q40">
        <v>0</v>
      </c>
      <c r="R40">
        <v>1.5</v>
      </c>
      <c r="S40">
        <v>0.74</v>
      </c>
      <c r="T40">
        <v>0.76</v>
      </c>
      <c r="U40" t="s">
        <v>102</v>
      </c>
      <c r="V40" t="s">
        <v>144</v>
      </c>
      <c r="W40">
        <v>4</v>
      </c>
      <c r="X40" s="25" t="s">
        <v>490</v>
      </c>
    </row>
    <row r="41" spans="1:24" x14ac:dyDescent="0.55000000000000004">
      <c r="A41" t="s">
        <v>155</v>
      </c>
      <c r="B41" s="24">
        <v>45332</v>
      </c>
      <c r="C41" t="s">
        <v>33</v>
      </c>
      <c r="D41" t="s">
        <v>69</v>
      </c>
      <c r="E41" t="s">
        <v>484</v>
      </c>
      <c r="F41" t="s">
        <v>485</v>
      </c>
      <c r="G41" t="s">
        <v>48</v>
      </c>
      <c r="H41" t="s">
        <v>49</v>
      </c>
      <c r="I41" t="s">
        <v>50</v>
      </c>
      <c r="J41" t="s">
        <v>39</v>
      </c>
      <c r="K41" t="s">
        <v>51</v>
      </c>
      <c r="L41" t="s">
        <v>66</v>
      </c>
      <c r="M41" t="s">
        <v>107</v>
      </c>
      <c r="N41">
        <v>2</v>
      </c>
      <c r="O41">
        <v>3.86</v>
      </c>
      <c r="P41">
        <v>7.72</v>
      </c>
      <c r="Q41">
        <v>0</v>
      </c>
      <c r="R41">
        <v>7.72</v>
      </c>
      <c r="S41">
        <v>3.28</v>
      </c>
      <c r="T41">
        <v>4.4400000000000004</v>
      </c>
      <c r="U41" t="s">
        <v>43</v>
      </c>
      <c r="V41" t="s">
        <v>87</v>
      </c>
      <c r="W41">
        <v>5</v>
      </c>
      <c r="X41" s="25" t="s">
        <v>490</v>
      </c>
    </row>
    <row r="42" spans="1:24" x14ac:dyDescent="0.55000000000000004">
      <c r="A42" t="s">
        <v>156</v>
      </c>
      <c r="B42" s="24">
        <v>45332</v>
      </c>
      <c r="C42" t="s">
        <v>33</v>
      </c>
      <c r="D42" t="s">
        <v>69</v>
      </c>
      <c r="E42" t="s">
        <v>488</v>
      </c>
      <c r="F42" t="s">
        <v>489</v>
      </c>
      <c r="G42" t="s">
        <v>131</v>
      </c>
      <c r="H42" t="s">
        <v>132</v>
      </c>
      <c r="I42" t="s">
        <v>133</v>
      </c>
      <c r="J42" t="s">
        <v>39</v>
      </c>
      <c r="K42" t="s">
        <v>134</v>
      </c>
      <c r="L42" t="s">
        <v>78</v>
      </c>
      <c r="M42" t="s">
        <v>97</v>
      </c>
      <c r="N42">
        <v>2</v>
      </c>
      <c r="O42">
        <v>3.29</v>
      </c>
      <c r="P42">
        <v>6.58</v>
      </c>
      <c r="Q42">
        <v>0.33</v>
      </c>
      <c r="R42">
        <v>6.25</v>
      </c>
      <c r="S42">
        <v>2.48</v>
      </c>
      <c r="T42">
        <v>3.77</v>
      </c>
      <c r="U42" t="s">
        <v>54</v>
      </c>
      <c r="V42" t="s">
        <v>55</v>
      </c>
      <c r="W42">
        <v>4</v>
      </c>
      <c r="X42" s="25" t="s">
        <v>490</v>
      </c>
    </row>
    <row r="43" spans="1:24" x14ac:dyDescent="0.55000000000000004">
      <c r="A43" t="s">
        <v>157</v>
      </c>
      <c r="B43" s="24">
        <v>45333</v>
      </c>
      <c r="C43" t="s">
        <v>33</v>
      </c>
      <c r="D43" t="s">
        <v>99</v>
      </c>
      <c r="E43" t="s">
        <v>488</v>
      </c>
      <c r="F43" t="s">
        <v>489</v>
      </c>
      <c r="G43" t="s">
        <v>104</v>
      </c>
      <c r="H43" t="s">
        <v>105</v>
      </c>
      <c r="I43" t="s">
        <v>106</v>
      </c>
      <c r="J43" t="s">
        <v>39</v>
      </c>
      <c r="K43" t="s">
        <v>85</v>
      </c>
      <c r="L43" t="s">
        <v>100</v>
      </c>
      <c r="M43" t="s">
        <v>117</v>
      </c>
      <c r="N43">
        <v>1</v>
      </c>
      <c r="O43">
        <v>3.3</v>
      </c>
      <c r="P43">
        <v>3.3</v>
      </c>
      <c r="Q43">
        <v>0</v>
      </c>
      <c r="R43">
        <v>3.3</v>
      </c>
      <c r="S43">
        <v>1.1599999999999999</v>
      </c>
      <c r="T43">
        <v>2.14</v>
      </c>
      <c r="U43" t="s">
        <v>93</v>
      </c>
      <c r="V43" t="s">
        <v>144</v>
      </c>
      <c r="W43">
        <v>5</v>
      </c>
      <c r="X43" s="25" t="s">
        <v>490</v>
      </c>
    </row>
    <row r="44" spans="1:24" x14ac:dyDescent="0.55000000000000004">
      <c r="A44" t="s">
        <v>158</v>
      </c>
      <c r="B44" s="24">
        <v>45333</v>
      </c>
      <c r="C44" t="s">
        <v>33</v>
      </c>
      <c r="D44" t="s">
        <v>99</v>
      </c>
      <c r="E44" t="s">
        <v>482</v>
      </c>
      <c r="F44" t="s">
        <v>483</v>
      </c>
      <c r="G44" t="s">
        <v>89</v>
      </c>
      <c r="H44" t="s">
        <v>90</v>
      </c>
      <c r="I44" t="s">
        <v>91</v>
      </c>
      <c r="J44" t="s">
        <v>39</v>
      </c>
      <c r="K44" t="s">
        <v>92</v>
      </c>
      <c r="L44" t="s">
        <v>78</v>
      </c>
      <c r="M44" t="s">
        <v>97</v>
      </c>
      <c r="N44">
        <v>3</v>
      </c>
      <c r="O44">
        <v>3.21</v>
      </c>
      <c r="P44">
        <v>9.6300000000000008</v>
      </c>
      <c r="Q44">
        <v>0.48</v>
      </c>
      <c r="R44">
        <v>9.15</v>
      </c>
      <c r="S44">
        <v>3.32</v>
      </c>
      <c r="T44">
        <v>5.83</v>
      </c>
      <c r="U44" t="s">
        <v>43</v>
      </c>
      <c r="V44" t="s">
        <v>87</v>
      </c>
      <c r="W44">
        <v>4</v>
      </c>
      <c r="X44" s="25" t="s">
        <v>490</v>
      </c>
    </row>
    <row r="45" spans="1:24" x14ac:dyDescent="0.55000000000000004">
      <c r="A45" t="s">
        <v>159</v>
      </c>
      <c r="B45" s="24">
        <v>45334</v>
      </c>
      <c r="C45" t="s">
        <v>33</v>
      </c>
      <c r="D45" t="s">
        <v>75</v>
      </c>
      <c r="E45" t="s">
        <v>486</v>
      </c>
      <c r="F45" t="s">
        <v>487</v>
      </c>
      <c r="G45" t="s">
        <v>114</v>
      </c>
      <c r="H45" t="s">
        <v>115</v>
      </c>
      <c r="I45" t="s">
        <v>116</v>
      </c>
      <c r="J45" t="s">
        <v>39</v>
      </c>
      <c r="K45" t="s">
        <v>51</v>
      </c>
      <c r="L45" t="s">
        <v>100</v>
      </c>
      <c r="M45" t="s">
        <v>117</v>
      </c>
      <c r="N45">
        <v>2</v>
      </c>
      <c r="O45">
        <v>3.35</v>
      </c>
      <c r="P45">
        <v>6.7</v>
      </c>
      <c r="Q45">
        <v>0.34</v>
      </c>
      <c r="R45">
        <v>6.36</v>
      </c>
      <c r="S45">
        <v>2.63</v>
      </c>
      <c r="T45">
        <v>3.73</v>
      </c>
      <c r="U45" t="s">
        <v>102</v>
      </c>
      <c r="V45" t="s">
        <v>55</v>
      </c>
      <c r="W45">
        <v>4</v>
      </c>
      <c r="X45" s="25" t="s">
        <v>490</v>
      </c>
    </row>
    <row r="46" spans="1:24" x14ac:dyDescent="0.55000000000000004">
      <c r="A46" t="s">
        <v>160</v>
      </c>
      <c r="B46" s="24">
        <v>45335</v>
      </c>
      <c r="C46" t="s">
        <v>33</v>
      </c>
      <c r="D46" t="s">
        <v>81</v>
      </c>
      <c r="E46" t="s">
        <v>484</v>
      </c>
      <c r="F46" t="s">
        <v>485</v>
      </c>
      <c r="G46" t="s">
        <v>131</v>
      </c>
      <c r="H46" t="s">
        <v>132</v>
      </c>
      <c r="I46" t="s">
        <v>133</v>
      </c>
      <c r="J46" t="s">
        <v>39</v>
      </c>
      <c r="K46" t="s">
        <v>134</v>
      </c>
      <c r="L46" t="s">
        <v>61</v>
      </c>
      <c r="M46" t="s">
        <v>161</v>
      </c>
      <c r="N46">
        <v>4</v>
      </c>
      <c r="O46">
        <v>10.71</v>
      </c>
      <c r="P46">
        <v>42.84</v>
      </c>
      <c r="Q46">
        <v>8.57</v>
      </c>
      <c r="R46">
        <v>34.270000000000003</v>
      </c>
      <c r="S46">
        <v>13.35</v>
      </c>
      <c r="T46">
        <v>20.92</v>
      </c>
      <c r="U46" t="s">
        <v>54</v>
      </c>
      <c r="V46" t="s">
        <v>63</v>
      </c>
      <c r="W46">
        <v>3</v>
      </c>
      <c r="X46" s="25" t="s">
        <v>492</v>
      </c>
    </row>
    <row r="47" spans="1:24" x14ac:dyDescent="0.55000000000000004">
      <c r="A47" t="s">
        <v>162</v>
      </c>
      <c r="B47" s="24">
        <v>45339</v>
      </c>
      <c r="C47" t="s">
        <v>33</v>
      </c>
      <c r="D47" t="s">
        <v>69</v>
      </c>
      <c r="E47" t="s">
        <v>484</v>
      </c>
      <c r="F47" t="s">
        <v>485</v>
      </c>
      <c r="G47" t="s">
        <v>163</v>
      </c>
      <c r="H47" t="s">
        <v>164</v>
      </c>
      <c r="I47" t="s">
        <v>165</v>
      </c>
      <c r="J47" t="s">
        <v>39</v>
      </c>
      <c r="K47" t="s">
        <v>85</v>
      </c>
      <c r="L47" t="s">
        <v>61</v>
      </c>
      <c r="M47" t="s">
        <v>119</v>
      </c>
      <c r="N47">
        <v>3</v>
      </c>
      <c r="O47">
        <v>6.96</v>
      </c>
      <c r="P47">
        <v>20.88</v>
      </c>
      <c r="Q47">
        <v>1.04</v>
      </c>
      <c r="R47">
        <v>19.84</v>
      </c>
      <c r="S47">
        <v>9.35</v>
      </c>
      <c r="T47">
        <v>10.49</v>
      </c>
      <c r="U47" t="s">
        <v>72</v>
      </c>
      <c r="V47" t="s">
        <v>44</v>
      </c>
      <c r="W47">
        <v>3</v>
      </c>
      <c r="X47" s="25" t="s">
        <v>490</v>
      </c>
    </row>
    <row r="48" spans="1:24" x14ac:dyDescent="0.55000000000000004">
      <c r="A48" t="s">
        <v>166</v>
      </c>
      <c r="B48" s="24">
        <v>45344</v>
      </c>
      <c r="C48" t="s">
        <v>33</v>
      </c>
      <c r="D48" t="s">
        <v>46</v>
      </c>
      <c r="E48" t="s">
        <v>488</v>
      </c>
      <c r="F48" t="s">
        <v>489</v>
      </c>
      <c r="G48" t="s">
        <v>163</v>
      </c>
      <c r="H48" t="s">
        <v>164</v>
      </c>
      <c r="I48" t="s">
        <v>165</v>
      </c>
      <c r="J48" t="s">
        <v>39</v>
      </c>
      <c r="K48" t="s">
        <v>85</v>
      </c>
      <c r="L48" t="s">
        <v>61</v>
      </c>
      <c r="M48" t="s">
        <v>119</v>
      </c>
      <c r="N48">
        <v>5</v>
      </c>
      <c r="O48">
        <v>7.09</v>
      </c>
      <c r="P48">
        <v>35.450000000000003</v>
      </c>
      <c r="Q48">
        <v>5.32</v>
      </c>
      <c r="R48">
        <v>30.13</v>
      </c>
      <c r="S48">
        <v>11.97</v>
      </c>
      <c r="T48">
        <v>18.16</v>
      </c>
      <c r="U48" t="s">
        <v>93</v>
      </c>
      <c r="V48" t="s">
        <v>44</v>
      </c>
      <c r="W48">
        <v>1</v>
      </c>
      <c r="X48" s="25" t="s">
        <v>493</v>
      </c>
    </row>
    <row r="49" spans="1:24" x14ac:dyDescent="0.55000000000000004">
      <c r="A49" t="s">
        <v>167</v>
      </c>
      <c r="B49" s="24">
        <v>45345</v>
      </c>
      <c r="C49" t="s">
        <v>33</v>
      </c>
      <c r="D49" t="s">
        <v>57</v>
      </c>
      <c r="E49" t="s">
        <v>486</v>
      </c>
      <c r="F49" t="s">
        <v>487</v>
      </c>
      <c r="G49" t="s">
        <v>131</v>
      </c>
      <c r="H49" t="s">
        <v>132</v>
      </c>
      <c r="I49" t="s">
        <v>133</v>
      </c>
      <c r="J49" t="s">
        <v>39</v>
      </c>
      <c r="K49" t="s">
        <v>134</v>
      </c>
      <c r="L49" t="s">
        <v>52</v>
      </c>
      <c r="M49" t="s">
        <v>71</v>
      </c>
      <c r="N49">
        <v>1</v>
      </c>
      <c r="O49">
        <v>3.95</v>
      </c>
      <c r="P49">
        <v>3.95</v>
      </c>
      <c r="Q49">
        <v>0</v>
      </c>
      <c r="R49">
        <v>3.95</v>
      </c>
      <c r="S49">
        <v>1.89</v>
      </c>
      <c r="T49">
        <v>2.06</v>
      </c>
      <c r="U49" t="s">
        <v>54</v>
      </c>
      <c r="V49" t="s">
        <v>63</v>
      </c>
      <c r="W49">
        <v>4</v>
      </c>
      <c r="X49" s="25" t="s">
        <v>490</v>
      </c>
    </row>
    <row r="50" spans="1:24" x14ac:dyDescent="0.55000000000000004">
      <c r="A50" t="s">
        <v>168</v>
      </c>
      <c r="B50" s="24">
        <v>45346</v>
      </c>
      <c r="C50" t="s">
        <v>33</v>
      </c>
      <c r="D50" t="s">
        <v>69</v>
      </c>
      <c r="E50" t="s">
        <v>486</v>
      </c>
      <c r="F50" t="s">
        <v>487</v>
      </c>
      <c r="G50" t="s">
        <v>58</v>
      </c>
      <c r="H50" t="s">
        <v>59</v>
      </c>
      <c r="I50" t="s">
        <v>60</v>
      </c>
      <c r="J50" t="s">
        <v>39</v>
      </c>
      <c r="K50" t="s">
        <v>40</v>
      </c>
      <c r="L50" t="s">
        <v>52</v>
      </c>
      <c r="M50" t="s">
        <v>169</v>
      </c>
      <c r="N50">
        <v>2</v>
      </c>
      <c r="O50">
        <v>2.93</v>
      </c>
      <c r="P50">
        <v>5.86</v>
      </c>
      <c r="Q50">
        <v>0.59</v>
      </c>
      <c r="R50">
        <v>5.27</v>
      </c>
      <c r="S50">
        <v>2.41</v>
      </c>
      <c r="T50">
        <v>2.86</v>
      </c>
      <c r="U50" t="s">
        <v>43</v>
      </c>
      <c r="V50" t="s">
        <v>144</v>
      </c>
      <c r="W50">
        <v>4</v>
      </c>
      <c r="X50" s="25" t="s">
        <v>491</v>
      </c>
    </row>
    <row r="51" spans="1:24" x14ac:dyDescent="0.55000000000000004">
      <c r="A51" t="s">
        <v>170</v>
      </c>
      <c r="B51" s="24">
        <v>45348</v>
      </c>
      <c r="C51" t="s">
        <v>33</v>
      </c>
      <c r="D51" t="s">
        <v>75</v>
      </c>
      <c r="E51" t="s">
        <v>482</v>
      </c>
      <c r="F51" t="s">
        <v>483</v>
      </c>
      <c r="G51" t="s">
        <v>48</v>
      </c>
      <c r="H51" t="s">
        <v>49</v>
      </c>
      <c r="I51" t="s">
        <v>50</v>
      </c>
      <c r="J51" t="s">
        <v>39</v>
      </c>
      <c r="K51" t="s">
        <v>51</v>
      </c>
      <c r="L51" t="s">
        <v>61</v>
      </c>
      <c r="M51" t="s">
        <v>62</v>
      </c>
      <c r="N51">
        <v>2</v>
      </c>
      <c r="O51">
        <v>10.54</v>
      </c>
      <c r="P51">
        <v>21.08</v>
      </c>
      <c r="Q51">
        <v>2.11</v>
      </c>
      <c r="R51">
        <v>18.97</v>
      </c>
      <c r="S51">
        <v>7.74</v>
      </c>
      <c r="T51">
        <v>11.23</v>
      </c>
      <c r="U51" t="s">
        <v>102</v>
      </c>
      <c r="V51" t="s">
        <v>87</v>
      </c>
      <c r="W51">
        <v>4</v>
      </c>
      <c r="X51" s="25" t="s">
        <v>491</v>
      </c>
    </row>
    <row r="52" spans="1:24" x14ac:dyDescent="0.55000000000000004">
      <c r="A52" t="s">
        <v>171</v>
      </c>
      <c r="B52" s="24">
        <v>45349</v>
      </c>
      <c r="C52" t="s">
        <v>33</v>
      </c>
      <c r="D52" t="s">
        <v>81</v>
      </c>
      <c r="E52" t="s">
        <v>486</v>
      </c>
      <c r="F52" t="s">
        <v>487</v>
      </c>
      <c r="G52" t="s">
        <v>104</v>
      </c>
      <c r="H52" t="s">
        <v>105</v>
      </c>
      <c r="I52" t="s">
        <v>106</v>
      </c>
      <c r="J52" t="s">
        <v>39</v>
      </c>
      <c r="K52" t="s">
        <v>85</v>
      </c>
      <c r="L52" t="s">
        <v>52</v>
      </c>
      <c r="M52" t="s">
        <v>53</v>
      </c>
      <c r="N52">
        <v>2</v>
      </c>
      <c r="O52">
        <v>2.56</v>
      </c>
      <c r="P52">
        <v>5.12</v>
      </c>
      <c r="Q52">
        <v>0.77</v>
      </c>
      <c r="R52">
        <v>4.3499999999999996</v>
      </c>
      <c r="S52">
        <v>1.73</v>
      </c>
      <c r="T52">
        <v>2.62</v>
      </c>
      <c r="U52" t="s">
        <v>102</v>
      </c>
      <c r="V52" t="s">
        <v>144</v>
      </c>
      <c r="W52">
        <v>2</v>
      </c>
      <c r="X52" s="25" t="s">
        <v>493</v>
      </c>
    </row>
    <row r="53" spans="1:24" x14ac:dyDescent="0.55000000000000004">
      <c r="A53" t="s">
        <v>172</v>
      </c>
      <c r="B53" s="24">
        <v>45350</v>
      </c>
      <c r="C53" t="s">
        <v>33</v>
      </c>
      <c r="D53" t="s">
        <v>34</v>
      </c>
      <c r="E53" t="s">
        <v>486</v>
      </c>
      <c r="F53" t="s">
        <v>487</v>
      </c>
      <c r="G53" t="s">
        <v>76</v>
      </c>
      <c r="H53" t="s">
        <v>77</v>
      </c>
      <c r="I53" t="s">
        <v>38</v>
      </c>
      <c r="J53" t="s">
        <v>39</v>
      </c>
      <c r="K53" t="s">
        <v>40</v>
      </c>
      <c r="L53" t="s">
        <v>66</v>
      </c>
      <c r="M53" t="s">
        <v>107</v>
      </c>
      <c r="N53">
        <v>2</v>
      </c>
      <c r="O53">
        <v>3.89</v>
      </c>
      <c r="P53">
        <v>7.78</v>
      </c>
      <c r="Q53">
        <v>0.39</v>
      </c>
      <c r="R53">
        <v>7.39</v>
      </c>
      <c r="S53">
        <v>3.93</v>
      </c>
      <c r="T53">
        <v>3.46</v>
      </c>
      <c r="U53" t="s">
        <v>72</v>
      </c>
      <c r="V53" t="s">
        <v>63</v>
      </c>
      <c r="W53">
        <v>3</v>
      </c>
      <c r="X53" s="25" t="s">
        <v>490</v>
      </c>
    </row>
    <row r="54" spans="1:24" x14ac:dyDescent="0.55000000000000004">
      <c r="A54" t="s">
        <v>173</v>
      </c>
      <c r="B54" s="24">
        <v>45350</v>
      </c>
      <c r="C54" t="s">
        <v>33</v>
      </c>
      <c r="D54" t="s">
        <v>34</v>
      </c>
      <c r="E54" t="s">
        <v>486</v>
      </c>
      <c r="F54" t="s">
        <v>487</v>
      </c>
      <c r="G54" t="s">
        <v>82</v>
      </c>
      <c r="H54" t="s">
        <v>83</v>
      </c>
      <c r="I54" t="s">
        <v>84</v>
      </c>
      <c r="J54" t="s">
        <v>39</v>
      </c>
      <c r="K54" t="s">
        <v>85</v>
      </c>
      <c r="L54" t="s">
        <v>78</v>
      </c>
      <c r="M54" t="s">
        <v>141</v>
      </c>
      <c r="N54">
        <v>3</v>
      </c>
      <c r="O54">
        <v>6.5</v>
      </c>
      <c r="P54">
        <v>19.5</v>
      </c>
      <c r="Q54">
        <v>0</v>
      </c>
      <c r="R54">
        <v>19.5</v>
      </c>
      <c r="S54">
        <v>8.7899999999999991</v>
      </c>
      <c r="T54">
        <v>10.71</v>
      </c>
      <c r="U54" t="s">
        <v>43</v>
      </c>
      <c r="V54" t="s">
        <v>144</v>
      </c>
      <c r="W54">
        <v>5</v>
      </c>
      <c r="X54" s="25" t="s">
        <v>490</v>
      </c>
    </row>
    <row r="55" spans="1:24" x14ac:dyDescent="0.55000000000000004">
      <c r="A55" t="s">
        <v>174</v>
      </c>
      <c r="B55" s="24">
        <v>45350</v>
      </c>
      <c r="C55" t="s">
        <v>33</v>
      </c>
      <c r="D55" t="s">
        <v>34</v>
      </c>
      <c r="E55" t="s">
        <v>482</v>
      </c>
      <c r="F55" t="s">
        <v>483</v>
      </c>
      <c r="G55" t="s">
        <v>48</v>
      </c>
      <c r="H55" t="s">
        <v>49</v>
      </c>
      <c r="I55" t="s">
        <v>50</v>
      </c>
      <c r="J55" t="s">
        <v>39</v>
      </c>
      <c r="K55" t="s">
        <v>51</v>
      </c>
      <c r="L55" t="s">
        <v>100</v>
      </c>
      <c r="M55" t="s">
        <v>111</v>
      </c>
      <c r="N55">
        <v>3</v>
      </c>
      <c r="O55">
        <v>5.89</v>
      </c>
      <c r="P55">
        <v>17.670000000000002</v>
      </c>
      <c r="Q55">
        <v>0.88</v>
      </c>
      <c r="R55">
        <v>16.79</v>
      </c>
      <c r="S55">
        <v>8.14</v>
      </c>
      <c r="T55">
        <v>8.65</v>
      </c>
      <c r="U55" t="s">
        <v>72</v>
      </c>
      <c r="V55" t="s">
        <v>87</v>
      </c>
      <c r="W55">
        <v>3</v>
      </c>
      <c r="X55" s="25" t="s">
        <v>490</v>
      </c>
    </row>
    <row r="56" spans="1:24" x14ac:dyDescent="0.55000000000000004">
      <c r="A56" t="s">
        <v>175</v>
      </c>
      <c r="B56" s="24">
        <v>45350</v>
      </c>
      <c r="C56" t="s">
        <v>33</v>
      </c>
      <c r="D56" t="s">
        <v>34</v>
      </c>
      <c r="E56" t="s">
        <v>484</v>
      </c>
      <c r="F56" t="s">
        <v>485</v>
      </c>
      <c r="G56" t="s">
        <v>58</v>
      </c>
      <c r="H56" t="s">
        <v>59</v>
      </c>
      <c r="I56" t="s">
        <v>60</v>
      </c>
      <c r="J56" t="s">
        <v>39</v>
      </c>
      <c r="K56" t="s">
        <v>40</v>
      </c>
      <c r="L56" t="s">
        <v>61</v>
      </c>
      <c r="M56" t="s">
        <v>161</v>
      </c>
      <c r="N56">
        <v>2</v>
      </c>
      <c r="O56">
        <v>11.16</v>
      </c>
      <c r="P56">
        <v>22.32</v>
      </c>
      <c r="Q56">
        <v>2.23</v>
      </c>
      <c r="R56">
        <v>20.09</v>
      </c>
      <c r="S56">
        <v>8.8000000000000007</v>
      </c>
      <c r="T56">
        <v>11.29</v>
      </c>
      <c r="U56" t="s">
        <v>93</v>
      </c>
      <c r="V56" t="s">
        <v>63</v>
      </c>
      <c r="W56">
        <v>5</v>
      </c>
      <c r="X56" s="25" t="s">
        <v>491</v>
      </c>
    </row>
    <row r="57" spans="1:24" x14ac:dyDescent="0.55000000000000004">
      <c r="A57" t="s">
        <v>176</v>
      </c>
      <c r="B57" s="24">
        <v>45351</v>
      </c>
      <c r="C57" t="s">
        <v>33</v>
      </c>
      <c r="D57" t="s">
        <v>46</v>
      </c>
      <c r="E57" t="s">
        <v>486</v>
      </c>
      <c r="F57" t="s">
        <v>487</v>
      </c>
      <c r="G57" t="s">
        <v>76</v>
      </c>
      <c r="H57" t="s">
        <v>77</v>
      </c>
      <c r="I57" t="s">
        <v>38</v>
      </c>
      <c r="J57" t="s">
        <v>39</v>
      </c>
      <c r="K57" t="s">
        <v>40</v>
      </c>
      <c r="L57" t="s">
        <v>66</v>
      </c>
      <c r="M57" t="s">
        <v>86</v>
      </c>
      <c r="N57">
        <v>2</v>
      </c>
      <c r="O57">
        <v>3.77</v>
      </c>
      <c r="P57">
        <v>7.54</v>
      </c>
      <c r="Q57">
        <v>0</v>
      </c>
      <c r="R57">
        <v>7.54</v>
      </c>
      <c r="S57">
        <v>3.22</v>
      </c>
      <c r="T57">
        <v>4.32</v>
      </c>
      <c r="U57" t="s">
        <v>93</v>
      </c>
      <c r="V57" t="s">
        <v>63</v>
      </c>
      <c r="W57">
        <v>4</v>
      </c>
      <c r="X57" s="25" t="s">
        <v>490</v>
      </c>
    </row>
    <row r="58" spans="1:24" x14ac:dyDescent="0.55000000000000004">
      <c r="A58" t="s">
        <v>177</v>
      </c>
      <c r="B58" s="24">
        <v>45351</v>
      </c>
      <c r="C58" t="s">
        <v>33</v>
      </c>
      <c r="D58" t="s">
        <v>46</v>
      </c>
      <c r="E58" t="s">
        <v>488</v>
      </c>
      <c r="F58" t="s">
        <v>489</v>
      </c>
      <c r="G58" t="s">
        <v>114</v>
      </c>
      <c r="H58" t="s">
        <v>115</v>
      </c>
      <c r="I58" t="s">
        <v>116</v>
      </c>
      <c r="J58" t="s">
        <v>39</v>
      </c>
      <c r="K58" t="s">
        <v>51</v>
      </c>
      <c r="L58" t="s">
        <v>61</v>
      </c>
      <c r="M58" t="s">
        <v>62</v>
      </c>
      <c r="N58">
        <v>2</v>
      </c>
      <c r="O58">
        <v>10.52</v>
      </c>
      <c r="P58">
        <v>21.04</v>
      </c>
      <c r="Q58">
        <v>0</v>
      </c>
      <c r="R58">
        <v>21.04</v>
      </c>
      <c r="S58">
        <v>8.15</v>
      </c>
      <c r="T58">
        <v>12.89</v>
      </c>
      <c r="U58" t="s">
        <v>123</v>
      </c>
      <c r="V58" t="s">
        <v>87</v>
      </c>
      <c r="W58">
        <v>4</v>
      </c>
      <c r="X58" s="25" t="s">
        <v>490</v>
      </c>
    </row>
    <row r="59" spans="1:24" x14ac:dyDescent="0.55000000000000004">
      <c r="A59" t="s">
        <v>178</v>
      </c>
      <c r="B59" s="24">
        <v>45352</v>
      </c>
      <c r="C59" t="s">
        <v>33</v>
      </c>
      <c r="D59" t="s">
        <v>57</v>
      </c>
      <c r="E59" t="s">
        <v>488</v>
      </c>
      <c r="F59" t="s">
        <v>489</v>
      </c>
      <c r="G59" t="s">
        <v>48</v>
      </c>
      <c r="H59" t="s">
        <v>49</v>
      </c>
      <c r="I59" t="s">
        <v>50</v>
      </c>
      <c r="J59" t="s">
        <v>39</v>
      </c>
      <c r="K59" t="s">
        <v>51</v>
      </c>
      <c r="L59" t="s">
        <v>41</v>
      </c>
      <c r="M59" t="s">
        <v>154</v>
      </c>
      <c r="N59">
        <v>2</v>
      </c>
      <c r="O59">
        <v>1.46</v>
      </c>
      <c r="P59">
        <v>2.92</v>
      </c>
      <c r="Q59">
        <v>0.44</v>
      </c>
      <c r="R59">
        <v>2.48</v>
      </c>
      <c r="S59">
        <v>1.1399999999999999</v>
      </c>
      <c r="T59">
        <v>1.34</v>
      </c>
      <c r="U59" t="s">
        <v>123</v>
      </c>
      <c r="V59" t="s">
        <v>63</v>
      </c>
      <c r="W59">
        <v>4</v>
      </c>
      <c r="X59" s="25" t="s">
        <v>493</v>
      </c>
    </row>
    <row r="60" spans="1:24" x14ac:dyDescent="0.55000000000000004">
      <c r="A60" t="s">
        <v>179</v>
      </c>
      <c r="B60" s="24">
        <v>45353</v>
      </c>
      <c r="C60" t="s">
        <v>33</v>
      </c>
      <c r="D60" t="s">
        <v>69</v>
      </c>
      <c r="E60" t="s">
        <v>484</v>
      </c>
      <c r="F60" t="s">
        <v>485</v>
      </c>
      <c r="G60" t="s">
        <v>104</v>
      </c>
      <c r="H60" t="s">
        <v>105</v>
      </c>
      <c r="I60" t="s">
        <v>106</v>
      </c>
      <c r="J60" t="s">
        <v>39</v>
      </c>
      <c r="K60" t="s">
        <v>85</v>
      </c>
      <c r="L60" t="s">
        <v>52</v>
      </c>
      <c r="M60" t="s">
        <v>180</v>
      </c>
      <c r="N60">
        <v>3</v>
      </c>
      <c r="O60">
        <v>3.71</v>
      </c>
      <c r="P60">
        <v>11.13</v>
      </c>
      <c r="Q60">
        <v>2.23</v>
      </c>
      <c r="R60">
        <v>8.9</v>
      </c>
      <c r="S60">
        <v>4.05</v>
      </c>
      <c r="T60">
        <v>4.8499999999999996</v>
      </c>
      <c r="U60" t="s">
        <v>54</v>
      </c>
      <c r="V60" t="s">
        <v>55</v>
      </c>
      <c r="W60">
        <v>4</v>
      </c>
      <c r="X60" s="25" t="s">
        <v>492</v>
      </c>
    </row>
    <row r="61" spans="1:24" x14ac:dyDescent="0.55000000000000004">
      <c r="A61" t="s">
        <v>181</v>
      </c>
      <c r="B61" s="24">
        <v>45354</v>
      </c>
      <c r="C61" t="s">
        <v>33</v>
      </c>
      <c r="D61" t="s">
        <v>99</v>
      </c>
      <c r="E61" t="s">
        <v>486</v>
      </c>
      <c r="F61" t="s">
        <v>487</v>
      </c>
      <c r="G61" t="s">
        <v>36</v>
      </c>
      <c r="H61" t="s">
        <v>37</v>
      </c>
      <c r="I61" t="s">
        <v>38</v>
      </c>
      <c r="J61" t="s">
        <v>39</v>
      </c>
      <c r="K61" t="s">
        <v>40</v>
      </c>
      <c r="L61" t="s">
        <v>41</v>
      </c>
      <c r="M61" t="s">
        <v>109</v>
      </c>
      <c r="N61">
        <v>3</v>
      </c>
      <c r="O61">
        <v>2.42</v>
      </c>
      <c r="P61">
        <v>7.26</v>
      </c>
      <c r="Q61">
        <v>0.36</v>
      </c>
      <c r="R61">
        <v>6.9</v>
      </c>
      <c r="S61">
        <v>2.92</v>
      </c>
      <c r="T61">
        <v>3.98</v>
      </c>
      <c r="U61" t="s">
        <v>43</v>
      </c>
      <c r="V61" t="s">
        <v>44</v>
      </c>
      <c r="W61">
        <v>5</v>
      </c>
      <c r="X61" s="25" t="s">
        <v>490</v>
      </c>
    </row>
    <row r="62" spans="1:24" x14ac:dyDescent="0.55000000000000004">
      <c r="A62" t="s">
        <v>182</v>
      </c>
      <c r="B62" s="24">
        <v>45355</v>
      </c>
      <c r="C62" t="s">
        <v>33</v>
      </c>
      <c r="D62" t="s">
        <v>75</v>
      </c>
      <c r="E62" t="s">
        <v>484</v>
      </c>
      <c r="F62" t="s">
        <v>485</v>
      </c>
      <c r="G62" t="s">
        <v>89</v>
      </c>
      <c r="H62" t="s">
        <v>90</v>
      </c>
      <c r="I62" t="s">
        <v>91</v>
      </c>
      <c r="J62" t="s">
        <v>39</v>
      </c>
      <c r="K62" t="s">
        <v>92</v>
      </c>
      <c r="L62" t="s">
        <v>66</v>
      </c>
      <c r="M62" t="s">
        <v>183</v>
      </c>
      <c r="N62">
        <v>3</v>
      </c>
      <c r="O62">
        <v>1.46</v>
      </c>
      <c r="P62">
        <v>4.38</v>
      </c>
      <c r="Q62">
        <v>0.22</v>
      </c>
      <c r="R62">
        <v>4.16</v>
      </c>
      <c r="S62">
        <v>1.46</v>
      </c>
      <c r="T62">
        <v>2.7</v>
      </c>
      <c r="U62" t="s">
        <v>72</v>
      </c>
      <c r="V62" t="s">
        <v>73</v>
      </c>
      <c r="W62">
        <v>5</v>
      </c>
      <c r="X62" s="25" t="s">
        <v>490</v>
      </c>
    </row>
    <row r="63" spans="1:24" x14ac:dyDescent="0.55000000000000004">
      <c r="A63" t="s">
        <v>184</v>
      </c>
      <c r="B63" s="24">
        <v>45356</v>
      </c>
      <c r="C63" t="s">
        <v>33</v>
      </c>
      <c r="D63" t="s">
        <v>81</v>
      </c>
      <c r="E63" t="s">
        <v>488</v>
      </c>
      <c r="F63" t="s">
        <v>489</v>
      </c>
      <c r="G63" t="s">
        <v>48</v>
      </c>
      <c r="H63" t="s">
        <v>49</v>
      </c>
      <c r="I63" t="s">
        <v>50</v>
      </c>
      <c r="J63" t="s">
        <v>39</v>
      </c>
      <c r="K63" t="s">
        <v>51</v>
      </c>
      <c r="L63" t="s">
        <v>100</v>
      </c>
      <c r="M63" t="s">
        <v>185</v>
      </c>
      <c r="N63">
        <v>2</v>
      </c>
      <c r="O63">
        <v>6.48</v>
      </c>
      <c r="P63">
        <v>12.96</v>
      </c>
      <c r="Q63">
        <v>0</v>
      </c>
      <c r="R63">
        <v>12.96</v>
      </c>
      <c r="S63">
        <v>5.01</v>
      </c>
      <c r="T63">
        <v>7.95</v>
      </c>
      <c r="U63" t="s">
        <v>102</v>
      </c>
      <c r="V63" t="s">
        <v>55</v>
      </c>
      <c r="W63">
        <v>3</v>
      </c>
      <c r="X63" s="25" t="s">
        <v>490</v>
      </c>
    </row>
    <row r="64" spans="1:24" x14ac:dyDescent="0.55000000000000004">
      <c r="A64" t="s">
        <v>186</v>
      </c>
      <c r="B64" s="24">
        <v>45357</v>
      </c>
      <c r="C64" t="s">
        <v>33</v>
      </c>
      <c r="D64" t="s">
        <v>34</v>
      </c>
      <c r="E64" t="s">
        <v>488</v>
      </c>
      <c r="F64" t="s">
        <v>489</v>
      </c>
      <c r="G64" t="s">
        <v>131</v>
      </c>
      <c r="H64" t="s">
        <v>132</v>
      </c>
      <c r="I64" t="s">
        <v>133</v>
      </c>
      <c r="J64" t="s">
        <v>39</v>
      </c>
      <c r="K64" t="s">
        <v>134</v>
      </c>
      <c r="L64" t="s">
        <v>61</v>
      </c>
      <c r="M64" t="s">
        <v>62</v>
      </c>
      <c r="N64">
        <v>4</v>
      </c>
      <c r="O64">
        <v>10.55</v>
      </c>
      <c r="P64">
        <v>42.2</v>
      </c>
      <c r="Q64">
        <v>2.11</v>
      </c>
      <c r="R64">
        <v>40.090000000000003</v>
      </c>
      <c r="S64">
        <v>14.7</v>
      </c>
      <c r="T64">
        <v>25.39</v>
      </c>
      <c r="U64" t="s">
        <v>72</v>
      </c>
      <c r="V64" t="s">
        <v>44</v>
      </c>
      <c r="W64">
        <v>3</v>
      </c>
      <c r="X64" s="25" t="s">
        <v>490</v>
      </c>
    </row>
    <row r="65" spans="1:24" x14ac:dyDescent="0.55000000000000004">
      <c r="A65" t="s">
        <v>187</v>
      </c>
      <c r="B65" s="24">
        <v>45359</v>
      </c>
      <c r="C65" t="s">
        <v>33</v>
      </c>
      <c r="D65" t="s">
        <v>57</v>
      </c>
      <c r="E65" t="s">
        <v>486</v>
      </c>
      <c r="F65" t="s">
        <v>487</v>
      </c>
      <c r="G65" t="s">
        <v>89</v>
      </c>
      <c r="H65" t="s">
        <v>90</v>
      </c>
      <c r="I65" t="s">
        <v>91</v>
      </c>
      <c r="J65" t="s">
        <v>39</v>
      </c>
      <c r="K65" t="s">
        <v>92</v>
      </c>
      <c r="L65" t="s">
        <v>66</v>
      </c>
      <c r="M65" t="s">
        <v>67</v>
      </c>
      <c r="N65">
        <v>2</v>
      </c>
      <c r="O65">
        <v>0.99</v>
      </c>
      <c r="P65">
        <v>1.98</v>
      </c>
      <c r="Q65">
        <v>0</v>
      </c>
      <c r="R65">
        <v>1.98</v>
      </c>
      <c r="S65">
        <v>1.05</v>
      </c>
      <c r="T65">
        <v>0.93</v>
      </c>
      <c r="U65" t="s">
        <v>72</v>
      </c>
      <c r="V65" t="s">
        <v>55</v>
      </c>
      <c r="W65">
        <v>5</v>
      </c>
      <c r="X65" s="25" t="s">
        <v>490</v>
      </c>
    </row>
    <row r="66" spans="1:24" x14ac:dyDescent="0.55000000000000004">
      <c r="A66" t="s">
        <v>188</v>
      </c>
      <c r="B66" s="24">
        <v>45359</v>
      </c>
      <c r="C66" t="s">
        <v>33</v>
      </c>
      <c r="D66" t="s">
        <v>57</v>
      </c>
      <c r="E66" t="s">
        <v>486</v>
      </c>
      <c r="F66" t="s">
        <v>487</v>
      </c>
      <c r="G66" t="s">
        <v>36</v>
      </c>
      <c r="H66" t="s">
        <v>37</v>
      </c>
      <c r="I66" t="s">
        <v>38</v>
      </c>
      <c r="J66" t="s">
        <v>39</v>
      </c>
      <c r="K66" t="s">
        <v>40</v>
      </c>
      <c r="L66" t="s">
        <v>52</v>
      </c>
      <c r="M66" t="s">
        <v>135</v>
      </c>
      <c r="N66">
        <v>2</v>
      </c>
      <c r="O66">
        <v>1.95</v>
      </c>
      <c r="P66">
        <v>3.9</v>
      </c>
      <c r="Q66">
        <v>0</v>
      </c>
      <c r="R66">
        <v>3.9</v>
      </c>
      <c r="S66">
        <v>1.87</v>
      </c>
      <c r="T66">
        <v>2.0299999999999998</v>
      </c>
      <c r="U66" t="s">
        <v>102</v>
      </c>
      <c r="V66" t="s">
        <v>63</v>
      </c>
      <c r="W66">
        <v>4</v>
      </c>
      <c r="X66" s="25" t="s">
        <v>490</v>
      </c>
    </row>
    <row r="67" spans="1:24" x14ac:dyDescent="0.55000000000000004">
      <c r="A67" t="s">
        <v>189</v>
      </c>
      <c r="B67" s="24">
        <v>45362</v>
      </c>
      <c r="C67" t="s">
        <v>33</v>
      </c>
      <c r="D67" t="s">
        <v>75</v>
      </c>
      <c r="E67" t="s">
        <v>486</v>
      </c>
      <c r="F67" t="s">
        <v>487</v>
      </c>
      <c r="G67" t="s">
        <v>76</v>
      </c>
      <c r="H67" t="s">
        <v>77</v>
      </c>
      <c r="I67" t="s">
        <v>38</v>
      </c>
      <c r="J67" t="s">
        <v>39</v>
      </c>
      <c r="K67" t="s">
        <v>40</v>
      </c>
      <c r="L67" t="s">
        <v>100</v>
      </c>
      <c r="M67" t="s">
        <v>101</v>
      </c>
      <c r="N67">
        <v>3</v>
      </c>
      <c r="O67">
        <v>3.41</v>
      </c>
      <c r="P67">
        <v>10.23</v>
      </c>
      <c r="Q67">
        <v>1.02</v>
      </c>
      <c r="R67">
        <v>9.2100000000000009</v>
      </c>
      <c r="S67">
        <v>4.76</v>
      </c>
      <c r="T67">
        <v>4.45</v>
      </c>
      <c r="U67" t="s">
        <v>43</v>
      </c>
      <c r="V67" t="s">
        <v>144</v>
      </c>
      <c r="W67">
        <v>4</v>
      </c>
      <c r="X67" s="25" t="s">
        <v>491</v>
      </c>
    </row>
    <row r="68" spans="1:24" x14ac:dyDescent="0.55000000000000004">
      <c r="A68" t="s">
        <v>190</v>
      </c>
      <c r="B68" s="24">
        <v>45362</v>
      </c>
      <c r="C68" t="s">
        <v>33</v>
      </c>
      <c r="D68" t="s">
        <v>75</v>
      </c>
      <c r="E68" t="s">
        <v>488</v>
      </c>
      <c r="F68" t="s">
        <v>489</v>
      </c>
      <c r="G68" t="s">
        <v>89</v>
      </c>
      <c r="H68" t="s">
        <v>90</v>
      </c>
      <c r="I68" t="s">
        <v>91</v>
      </c>
      <c r="J68" t="s">
        <v>39</v>
      </c>
      <c r="K68" t="s">
        <v>92</v>
      </c>
      <c r="L68" t="s">
        <v>41</v>
      </c>
      <c r="M68" t="s">
        <v>125</v>
      </c>
      <c r="N68">
        <v>1</v>
      </c>
      <c r="O68">
        <v>2.82</v>
      </c>
      <c r="P68">
        <v>2.82</v>
      </c>
      <c r="Q68">
        <v>0.14000000000000001</v>
      </c>
      <c r="R68">
        <v>2.68</v>
      </c>
      <c r="S68">
        <v>1.1100000000000001</v>
      </c>
      <c r="T68">
        <v>1.57</v>
      </c>
      <c r="U68" t="s">
        <v>93</v>
      </c>
      <c r="V68" t="s">
        <v>63</v>
      </c>
      <c r="W68">
        <v>4</v>
      </c>
      <c r="X68" s="25" t="s">
        <v>490</v>
      </c>
    </row>
    <row r="69" spans="1:24" x14ac:dyDescent="0.55000000000000004">
      <c r="A69" t="s">
        <v>191</v>
      </c>
      <c r="B69" s="24">
        <v>45362</v>
      </c>
      <c r="C69" t="s">
        <v>33</v>
      </c>
      <c r="D69" t="s">
        <v>75</v>
      </c>
      <c r="E69" t="s">
        <v>486</v>
      </c>
      <c r="F69" t="s">
        <v>487</v>
      </c>
      <c r="G69" t="s">
        <v>89</v>
      </c>
      <c r="H69" t="s">
        <v>90</v>
      </c>
      <c r="I69" t="s">
        <v>91</v>
      </c>
      <c r="J69" t="s">
        <v>39</v>
      </c>
      <c r="K69" t="s">
        <v>92</v>
      </c>
      <c r="L69" t="s">
        <v>78</v>
      </c>
      <c r="M69" t="s">
        <v>143</v>
      </c>
      <c r="N69">
        <v>3</v>
      </c>
      <c r="O69">
        <v>2.85</v>
      </c>
      <c r="P69">
        <v>8.5500000000000007</v>
      </c>
      <c r="Q69">
        <v>0</v>
      </c>
      <c r="R69">
        <v>8.5500000000000007</v>
      </c>
      <c r="S69">
        <v>3.27</v>
      </c>
      <c r="T69">
        <v>5.28</v>
      </c>
      <c r="U69" t="s">
        <v>54</v>
      </c>
      <c r="V69" t="s">
        <v>63</v>
      </c>
      <c r="W69">
        <v>2</v>
      </c>
      <c r="X69" s="25" t="s">
        <v>490</v>
      </c>
    </row>
    <row r="70" spans="1:24" x14ac:dyDescent="0.55000000000000004">
      <c r="A70" t="s">
        <v>192</v>
      </c>
      <c r="B70" s="24">
        <v>45363</v>
      </c>
      <c r="C70" t="s">
        <v>33</v>
      </c>
      <c r="D70" t="s">
        <v>81</v>
      </c>
      <c r="E70" t="s">
        <v>488</v>
      </c>
      <c r="F70" t="s">
        <v>489</v>
      </c>
      <c r="G70" t="s">
        <v>163</v>
      </c>
      <c r="H70" t="s">
        <v>164</v>
      </c>
      <c r="I70" t="s">
        <v>165</v>
      </c>
      <c r="J70" t="s">
        <v>39</v>
      </c>
      <c r="K70" t="s">
        <v>85</v>
      </c>
      <c r="L70" t="s">
        <v>61</v>
      </c>
      <c r="M70" t="s">
        <v>161</v>
      </c>
      <c r="N70">
        <v>1</v>
      </c>
      <c r="O70">
        <v>11.31</v>
      </c>
      <c r="P70">
        <v>11.31</v>
      </c>
      <c r="Q70">
        <v>1.1299999999999999</v>
      </c>
      <c r="R70">
        <v>10.18</v>
      </c>
      <c r="S70">
        <v>4.17</v>
      </c>
      <c r="T70">
        <v>6.01</v>
      </c>
      <c r="U70" t="s">
        <v>123</v>
      </c>
      <c r="V70" t="s">
        <v>87</v>
      </c>
      <c r="W70">
        <v>4</v>
      </c>
      <c r="X70" s="25" t="s">
        <v>491</v>
      </c>
    </row>
    <row r="71" spans="1:24" x14ac:dyDescent="0.55000000000000004">
      <c r="A71" t="s">
        <v>193</v>
      </c>
      <c r="B71" s="24">
        <v>45363</v>
      </c>
      <c r="C71" t="s">
        <v>33</v>
      </c>
      <c r="D71" t="s">
        <v>81</v>
      </c>
      <c r="E71" t="s">
        <v>486</v>
      </c>
      <c r="F71" t="s">
        <v>487</v>
      </c>
      <c r="G71" t="s">
        <v>58</v>
      </c>
      <c r="H71" t="s">
        <v>59</v>
      </c>
      <c r="I71" t="s">
        <v>60</v>
      </c>
      <c r="J71" t="s">
        <v>39</v>
      </c>
      <c r="K71" t="s">
        <v>40</v>
      </c>
      <c r="L71" t="s">
        <v>41</v>
      </c>
      <c r="M71" t="s">
        <v>42</v>
      </c>
      <c r="N71">
        <v>2</v>
      </c>
      <c r="O71">
        <v>4.55</v>
      </c>
      <c r="P71">
        <v>9.1</v>
      </c>
      <c r="Q71">
        <v>0.91</v>
      </c>
      <c r="R71">
        <v>8.19</v>
      </c>
      <c r="S71">
        <v>2.99</v>
      </c>
      <c r="T71">
        <v>5.2</v>
      </c>
      <c r="U71" t="s">
        <v>43</v>
      </c>
      <c r="V71" t="s">
        <v>63</v>
      </c>
      <c r="W71">
        <v>4</v>
      </c>
      <c r="X71" s="25" t="s">
        <v>491</v>
      </c>
    </row>
    <row r="72" spans="1:24" x14ac:dyDescent="0.55000000000000004">
      <c r="A72" t="s">
        <v>194</v>
      </c>
      <c r="B72" s="24">
        <v>45363</v>
      </c>
      <c r="C72" t="s">
        <v>33</v>
      </c>
      <c r="D72" t="s">
        <v>81</v>
      </c>
      <c r="E72" t="s">
        <v>486</v>
      </c>
      <c r="F72" t="s">
        <v>487</v>
      </c>
      <c r="G72" t="s">
        <v>82</v>
      </c>
      <c r="H72" t="s">
        <v>83</v>
      </c>
      <c r="I72" t="s">
        <v>84</v>
      </c>
      <c r="J72" t="s">
        <v>39</v>
      </c>
      <c r="K72" t="s">
        <v>85</v>
      </c>
      <c r="L72" t="s">
        <v>100</v>
      </c>
      <c r="M72" t="s">
        <v>185</v>
      </c>
      <c r="N72">
        <v>3</v>
      </c>
      <c r="O72">
        <v>6.68</v>
      </c>
      <c r="P72">
        <v>20.04</v>
      </c>
      <c r="Q72">
        <v>0</v>
      </c>
      <c r="R72">
        <v>20.04</v>
      </c>
      <c r="S72">
        <v>10.32</v>
      </c>
      <c r="T72">
        <v>9.7200000000000006</v>
      </c>
      <c r="U72" t="s">
        <v>123</v>
      </c>
      <c r="V72" t="s">
        <v>73</v>
      </c>
      <c r="W72">
        <v>5</v>
      </c>
      <c r="X72" s="25" t="s">
        <v>490</v>
      </c>
    </row>
    <row r="73" spans="1:24" x14ac:dyDescent="0.55000000000000004">
      <c r="A73" t="s">
        <v>195</v>
      </c>
      <c r="B73" s="24">
        <v>45363</v>
      </c>
      <c r="C73" t="s">
        <v>33</v>
      </c>
      <c r="D73" t="s">
        <v>81</v>
      </c>
      <c r="E73" t="s">
        <v>486</v>
      </c>
      <c r="F73" t="s">
        <v>487</v>
      </c>
      <c r="G73" t="s">
        <v>48</v>
      </c>
      <c r="H73" t="s">
        <v>49</v>
      </c>
      <c r="I73" t="s">
        <v>50</v>
      </c>
      <c r="J73" t="s">
        <v>39</v>
      </c>
      <c r="K73" t="s">
        <v>51</v>
      </c>
      <c r="L73" t="s">
        <v>66</v>
      </c>
      <c r="M73" t="s">
        <v>86</v>
      </c>
      <c r="N73">
        <v>1</v>
      </c>
      <c r="O73">
        <v>3.76</v>
      </c>
      <c r="P73">
        <v>3.76</v>
      </c>
      <c r="Q73">
        <v>0</v>
      </c>
      <c r="R73">
        <v>3.76</v>
      </c>
      <c r="S73">
        <v>1.52</v>
      </c>
      <c r="T73">
        <v>2.2400000000000002</v>
      </c>
      <c r="U73" t="s">
        <v>123</v>
      </c>
      <c r="V73" t="s">
        <v>55</v>
      </c>
      <c r="W73">
        <v>5</v>
      </c>
      <c r="X73" s="25" t="s">
        <v>490</v>
      </c>
    </row>
    <row r="74" spans="1:24" x14ac:dyDescent="0.55000000000000004">
      <c r="A74" t="s">
        <v>196</v>
      </c>
      <c r="B74" s="24">
        <v>45363</v>
      </c>
      <c r="C74" t="s">
        <v>33</v>
      </c>
      <c r="D74" t="s">
        <v>81</v>
      </c>
      <c r="E74" t="s">
        <v>486</v>
      </c>
      <c r="F74" t="s">
        <v>487</v>
      </c>
      <c r="G74" t="s">
        <v>104</v>
      </c>
      <c r="H74" t="s">
        <v>105</v>
      </c>
      <c r="I74" t="s">
        <v>106</v>
      </c>
      <c r="J74" t="s">
        <v>39</v>
      </c>
      <c r="K74" t="s">
        <v>85</v>
      </c>
      <c r="L74" t="s">
        <v>52</v>
      </c>
      <c r="M74" t="s">
        <v>53</v>
      </c>
      <c r="N74">
        <v>5</v>
      </c>
      <c r="O74">
        <v>2.4500000000000002</v>
      </c>
      <c r="P74">
        <v>12.25</v>
      </c>
      <c r="Q74">
        <v>0</v>
      </c>
      <c r="R74">
        <v>12.25</v>
      </c>
      <c r="S74">
        <v>5.24</v>
      </c>
      <c r="T74">
        <v>7.01</v>
      </c>
      <c r="U74" t="s">
        <v>102</v>
      </c>
      <c r="V74" t="s">
        <v>87</v>
      </c>
      <c r="W74">
        <v>5</v>
      </c>
      <c r="X74" s="25" t="s">
        <v>490</v>
      </c>
    </row>
    <row r="75" spans="1:24" x14ac:dyDescent="0.55000000000000004">
      <c r="A75" t="s">
        <v>197</v>
      </c>
      <c r="B75" s="24">
        <v>45367</v>
      </c>
      <c r="C75" t="s">
        <v>33</v>
      </c>
      <c r="D75" t="s">
        <v>69</v>
      </c>
      <c r="E75" t="s">
        <v>488</v>
      </c>
      <c r="F75" t="s">
        <v>489</v>
      </c>
      <c r="G75" t="s">
        <v>131</v>
      </c>
      <c r="H75" t="s">
        <v>132</v>
      </c>
      <c r="I75" t="s">
        <v>133</v>
      </c>
      <c r="J75" t="s">
        <v>39</v>
      </c>
      <c r="K75" t="s">
        <v>134</v>
      </c>
      <c r="L75" t="s">
        <v>61</v>
      </c>
      <c r="M75" t="s">
        <v>62</v>
      </c>
      <c r="N75">
        <v>4</v>
      </c>
      <c r="O75">
        <v>10.53</v>
      </c>
      <c r="P75">
        <v>42.12</v>
      </c>
      <c r="Q75">
        <v>0</v>
      </c>
      <c r="R75">
        <v>42.12</v>
      </c>
      <c r="S75">
        <v>17.149999999999999</v>
      </c>
      <c r="T75">
        <v>24.97</v>
      </c>
      <c r="U75" t="s">
        <v>43</v>
      </c>
      <c r="V75" t="s">
        <v>55</v>
      </c>
      <c r="W75">
        <v>4</v>
      </c>
      <c r="X75" s="25" t="s">
        <v>490</v>
      </c>
    </row>
    <row r="76" spans="1:24" x14ac:dyDescent="0.55000000000000004">
      <c r="A76" t="s">
        <v>198</v>
      </c>
      <c r="B76" s="24">
        <v>45368</v>
      </c>
      <c r="C76" t="s">
        <v>33</v>
      </c>
      <c r="D76" t="s">
        <v>99</v>
      </c>
      <c r="E76" t="s">
        <v>484</v>
      </c>
      <c r="F76" t="s">
        <v>485</v>
      </c>
      <c r="G76" t="s">
        <v>76</v>
      </c>
      <c r="H76" t="s">
        <v>77</v>
      </c>
      <c r="I76" t="s">
        <v>38</v>
      </c>
      <c r="J76" t="s">
        <v>39</v>
      </c>
      <c r="K76" t="s">
        <v>40</v>
      </c>
      <c r="L76" t="s">
        <v>66</v>
      </c>
      <c r="M76" t="s">
        <v>67</v>
      </c>
      <c r="N76">
        <v>2</v>
      </c>
      <c r="O76">
        <v>1.01</v>
      </c>
      <c r="P76">
        <v>2.02</v>
      </c>
      <c r="Q76">
        <v>0.2</v>
      </c>
      <c r="R76">
        <v>1.82</v>
      </c>
      <c r="S76">
        <v>0.81</v>
      </c>
      <c r="T76">
        <v>1.01</v>
      </c>
      <c r="U76" t="s">
        <v>43</v>
      </c>
      <c r="V76" t="s">
        <v>63</v>
      </c>
      <c r="W76">
        <v>4</v>
      </c>
      <c r="X76" s="25" t="s">
        <v>491</v>
      </c>
    </row>
    <row r="77" spans="1:24" x14ac:dyDescent="0.55000000000000004">
      <c r="A77" t="s">
        <v>199</v>
      </c>
      <c r="B77" s="24">
        <v>45370</v>
      </c>
      <c r="C77" t="s">
        <v>33</v>
      </c>
      <c r="D77" t="s">
        <v>81</v>
      </c>
      <c r="E77" t="s">
        <v>488</v>
      </c>
      <c r="F77" t="s">
        <v>489</v>
      </c>
      <c r="G77" t="s">
        <v>48</v>
      </c>
      <c r="H77" t="s">
        <v>49</v>
      </c>
      <c r="I77" t="s">
        <v>50</v>
      </c>
      <c r="J77" t="s">
        <v>39</v>
      </c>
      <c r="K77" t="s">
        <v>51</v>
      </c>
      <c r="L77" t="s">
        <v>52</v>
      </c>
      <c r="M77" t="s">
        <v>71</v>
      </c>
      <c r="N77">
        <v>2</v>
      </c>
      <c r="O77">
        <v>3.94</v>
      </c>
      <c r="P77">
        <v>7.88</v>
      </c>
      <c r="Q77">
        <v>0.79</v>
      </c>
      <c r="R77">
        <v>7.09</v>
      </c>
      <c r="S77">
        <v>3.87</v>
      </c>
      <c r="T77">
        <v>3.22</v>
      </c>
      <c r="U77" t="s">
        <v>93</v>
      </c>
      <c r="V77" t="s">
        <v>63</v>
      </c>
      <c r="W77">
        <v>3</v>
      </c>
      <c r="X77" s="25" t="s">
        <v>491</v>
      </c>
    </row>
    <row r="78" spans="1:24" x14ac:dyDescent="0.55000000000000004">
      <c r="A78" t="s">
        <v>200</v>
      </c>
      <c r="B78" s="24">
        <v>45372</v>
      </c>
      <c r="C78" t="s">
        <v>33</v>
      </c>
      <c r="D78" t="s">
        <v>46</v>
      </c>
      <c r="E78" t="s">
        <v>488</v>
      </c>
      <c r="F78" t="s">
        <v>489</v>
      </c>
      <c r="G78" t="s">
        <v>104</v>
      </c>
      <c r="H78" t="s">
        <v>105</v>
      </c>
      <c r="I78" t="s">
        <v>106</v>
      </c>
      <c r="J78" t="s">
        <v>39</v>
      </c>
      <c r="K78" t="s">
        <v>85</v>
      </c>
      <c r="L78" t="s">
        <v>78</v>
      </c>
      <c r="M78" t="s">
        <v>141</v>
      </c>
      <c r="N78">
        <v>2</v>
      </c>
      <c r="O78">
        <v>6.48</v>
      </c>
      <c r="P78">
        <v>12.96</v>
      </c>
      <c r="Q78">
        <v>0</v>
      </c>
      <c r="R78">
        <v>12.96</v>
      </c>
      <c r="S78">
        <v>5.28</v>
      </c>
      <c r="T78">
        <v>7.68</v>
      </c>
      <c r="U78" t="s">
        <v>123</v>
      </c>
      <c r="V78" t="s">
        <v>73</v>
      </c>
      <c r="W78">
        <v>2</v>
      </c>
      <c r="X78" s="25" t="s">
        <v>490</v>
      </c>
    </row>
    <row r="79" spans="1:24" x14ac:dyDescent="0.55000000000000004">
      <c r="A79" t="s">
        <v>201</v>
      </c>
      <c r="B79" s="24">
        <v>45373</v>
      </c>
      <c r="C79" t="s">
        <v>33</v>
      </c>
      <c r="D79" t="s">
        <v>57</v>
      </c>
      <c r="E79" t="s">
        <v>482</v>
      </c>
      <c r="F79" t="s">
        <v>483</v>
      </c>
      <c r="G79" t="s">
        <v>48</v>
      </c>
      <c r="H79" t="s">
        <v>49</v>
      </c>
      <c r="I79" t="s">
        <v>50</v>
      </c>
      <c r="J79" t="s">
        <v>39</v>
      </c>
      <c r="K79" t="s">
        <v>51</v>
      </c>
      <c r="L79" t="s">
        <v>61</v>
      </c>
      <c r="M79" t="s">
        <v>119</v>
      </c>
      <c r="N79">
        <v>2</v>
      </c>
      <c r="O79">
        <v>6.91</v>
      </c>
      <c r="P79">
        <v>13.82</v>
      </c>
      <c r="Q79">
        <v>0</v>
      </c>
      <c r="R79">
        <v>13.82</v>
      </c>
      <c r="S79">
        <v>7.45</v>
      </c>
      <c r="T79">
        <v>6.37</v>
      </c>
      <c r="U79" t="s">
        <v>43</v>
      </c>
      <c r="V79" t="s">
        <v>63</v>
      </c>
      <c r="W79">
        <v>3</v>
      </c>
      <c r="X79" s="25" t="s">
        <v>490</v>
      </c>
    </row>
    <row r="80" spans="1:24" x14ac:dyDescent="0.55000000000000004">
      <c r="A80" t="s">
        <v>202</v>
      </c>
      <c r="B80" s="24">
        <v>45373</v>
      </c>
      <c r="C80" t="s">
        <v>33</v>
      </c>
      <c r="D80" t="s">
        <v>57</v>
      </c>
      <c r="E80" t="s">
        <v>484</v>
      </c>
      <c r="F80" t="s">
        <v>485</v>
      </c>
      <c r="G80" t="s">
        <v>48</v>
      </c>
      <c r="H80" t="s">
        <v>49</v>
      </c>
      <c r="I80" t="s">
        <v>50</v>
      </c>
      <c r="J80" t="s">
        <v>39</v>
      </c>
      <c r="K80" t="s">
        <v>51</v>
      </c>
      <c r="L80" t="s">
        <v>100</v>
      </c>
      <c r="M80" t="s">
        <v>111</v>
      </c>
      <c r="N80">
        <v>2</v>
      </c>
      <c r="O80">
        <v>6.04</v>
      </c>
      <c r="P80">
        <v>12.08</v>
      </c>
      <c r="Q80">
        <v>0</v>
      </c>
      <c r="R80">
        <v>12.08</v>
      </c>
      <c r="S80">
        <v>6.56</v>
      </c>
      <c r="T80">
        <v>5.52</v>
      </c>
      <c r="U80" t="s">
        <v>72</v>
      </c>
      <c r="V80" t="s">
        <v>144</v>
      </c>
      <c r="W80">
        <v>4</v>
      </c>
      <c r="X80" s="25" t="s">
        <v>490</v>
      </c>
    </row>
    <row r="81" spans="1:24" x14ac:dyDescent="0.55000000000000004">
      <c r="A81" t="s">
        <v>203</v>
      </c>
      <c r="B81" s="24">
        <v>45373</v>
      </c>
      <c r="C81" t="s">
        <v>33</v>
      </c>
      <c r="D81" t="s">
        <v>57</v>
      </c>
      <c r="E81" t="s">
        <v>482</v>
      </c>
      <c r="F81" t="s">
        <v>483</v>
      </c>
      <c r="G81" t="s">
        <v>48</v>
      </c>
      <c r="H81" t="s">
        <v>49</v>
      </c>
      <c r="I81" t="s">
        <v>50</v>
      </c>
      <c r="J81" t="s">
        <v>39</v>
      </c>
      <c r="K81" t="s">
        <v>51</v>
      </c>
      <c r="L81" t="s">
        <v>78</v>
      </c>
      <c r="M81" t="s">
        <v>138</v>
      </c>
      <c r="N81">
        <v>3</v>
      </c>
      <c r="O81">
        <v>4.58</v>
      </c>
      <c r="P81">
        <v>13.74</v>
      </c>
      <c r="Q81">
        <v>0</v>
      </c>
      <c r="R81">
        <v>13.74</v>
      </c>
      <c r="S81">
        <v>6.95</v>
      </c>
      <c r="T81">
        <v>6.79</v>
      </c>
      <c r="U81" t="s">
        <v>72</v>
      </c>
      <c r="V81" t="s">
        <v>73</v>
      </c>
      <c r="W81">
        <v>4</v>
      </c>
      <c r="X81" s="25" t="s">
        <v>490</v>
      </c>
    </row>
    <row r="82" spans="1:24" x14ac:dyDescent="0.55000000000000004">
      <c r="A82" t="s">
        <v>204</v>
      </c>
      <c r="B82" s="24">
        <v>45373</v>
      </c>
      <c r="C82" t="s">
        <v>33</v>
      </c>
      <c r="D82" t="s">
        <v>57</v>
      </c>
      <c r="E82" t="s">
        <v>488</v>
      </c>
      <c r="F82" t="s">
        <v>489</v>
      </c>
      <c r="G82" t="s">
        <v>82</v>
      </c>
      <c r="H82" t="s">
        <v>83</v>
      </c>
      <c r="I82" t="s">
        <v>84</v>
      </c>
      <c r="J82" t="s">
        <v>39</v>
      </c>
      <c r="K82" t="s">
        <v>85</v>
      </c>
      <c r="L82" t="s">
        <v>41</v>
      </c>
      <c r="M82" t="s">
        <v>154</v>
      </c>
      <c r="N82">
        <v>1</v>
      </c>
      <c r="O82">
        <v>1.49</v>
      </c>
      <c r="P82">
        <v>1.49</v>
      </c>
      <c r="Q82">
        <v>0.15</v>
      </c>
      <c r="R82">
        <v>1.34</v>
      </c>
      <c r="S82">
        <v>0.67</v>
      </c>
      <c r="T82">
        <v>0.67</v>
      </c>
      <c r="U82" t="s">
        <v>93</v>
      </c>
      <c r="V82" t="s">
        <v>87</v>
      </c>
      <c r="W82">
        <v>4</v>
      </c>
      <c r="X82" s="25" t="s">
        <v>491</v>
      </c>
    </row>
    <row r="83" spans="1:24" x14ac:dyDescent="0.55000000000000004">
      <c r="A83" t="s">
        <v>205</v>
      </c>
      <c r="B83" s="24">
        <v>45374</v>
      </c>
      <c r="C83" t="s">
        <v>33</v>
      </c>
      <c r="D83" t="s">
        <v>69</v>
      </c>
      <c r="E83" t="s">
        <v>482</v>
      </c>
      <c r="F83" t="s">
        <v>483</v>
      </c>
      <c r="G83" t="s">
        <v>163</v>
      </c>
      <c r="H83" t="s">
        <v>164</v>
      </c>
      <c r="I83" t="s">
        <v>165</v>
      </c>
      <c r="J83" t="s">
        <v>39</v>
      </c>
      <c r="K83" t="s">
        <v>85</v>
      </c>
      <c r="L83" t="s">
        <v>78</v>
      </c>
      <c r="M83" t="s">
        <v>141</v>
      </c>
      <c r="N83">
        <v>1</v>
      </c>
      <c r="O83">
        <v>6.66</v>
      </c>
      <c r="P83">
        <v>6.66</v>
      </c>
      <c r="Q83">
        <v>0.67</v>
      </c>
      <c r="R83">
        <v>5.99</v>
      </c>
      <c r="S83">
        <v>2.76</v>
      </c>
      <c r="T83">
        <v>3.23</v>
      </c>
      <c r="U83" t="s">
        <v>72</v>
      </c>
      <c r="V83" t="s">
        <v>144</v>
      </c>
      <c r="W83">
        <v>4</v>
      </c>
      <c r="X83" s="25" t="s">
        <v>491</v>
      </c>
    </row>
    <row r="84" spans="1:24" x14ac:dyDescent="0.55000000000000004">
      <c r="A84" t="s">
        <v>206</v>
      </c>
      <c r="B84" s="24">
        <v>45379</v>
      </c>
      <c r="C84" t="s">
        <v>33</v>
      </c>
      <c r="D84" t="s">
        <v>46</v>
      </c>
      <c r="E84" t="s">
        <v>484</v>
      </c>
      <c r="F84" t="s">
        <v>485</v>
      </c>
      <c r="G84" t="s">
        <v>89</v>
      </c>
      <c r="H84" t="s">
        <v>90</v>
      </c>
      <c r="I84" t="s">
        <v>91</v>
      </c>
      <c r="J84" t="s">
        <v>39</v>
      </c>
      <c r="K84" t="s">
        <v>92</v>
      </c>
      <c r="L84" t="s">
        <v>52</v>
      </c>
      <c r="M84" t="s">
        <v>169</v>
      </c>
      <c r="N84">
        <v>3</v>
      </c>
      <c r="O84">
        <v>2.97</v>
      </c>
      <c r="P84">
        <v>8.91</v>
      </c>
      <c r="Q84">
        <v>0.89</v>
      </c>
      <c r="R84">
        <v>8.02</v>
      </c>
      <c r="S84">
        <v>3.2</v>
      </c>
      <c r="T84">
        <v>4.82</v>
      </c>
      <c r="U84" t="s">
        <v>43</v>
      </c>
      <c r="V84" t="s">
        <v>73</v>
      </c>
      <c r="W84">
        <v>3</v>
      </c>
      <c r="X84" s="25" t="s">
        <v>491</v>
      </c>
    </row>
    <row r="85" spans="1:24" x14ac:dyDescent="0.55000000000000004">
      <c r="A85" t="s">
        <v>207</v>
      </c>
      <c r="B85" s="24">
        <v>45380</v>
      </c>
      <c r="C85" t="s">
        <v>33</v>
      </c>
      <c r="D85" t="s">
        <v>57</v>
      </c>
      <c r="E85" t="s">
        <v>482</v>
      </c>
      <c r="F85" t="s">
        <v>483</v>
      </c>
      <c r="G85" t="s">
        <v>76</v>
      </c>
      <c r="H85" t="s">
        <v>77</v>
      </c>
      <c r="I85" t="s">
        <v>38</v>
      </c>
      <c r="J85" t="s">
        <v>39</v>
      </c>
      <c r="K85" t="s">
        <v>40</v>
      </c>
      <c r="L85" t="s">
        <v>41</v>
      </c>
      <c r="M85" t="s">
        <v>125</v>
      </c>
      <c r="N85">
        <v>1</v>
      </c>
      <c r="O85">
        <v>2.83</v>
      </c>
      <c r="P85">
        <v>2.83</v>
      </c>
      <c r="Q85">
        <v>0</v>
      </c>
      <c r="R85">
        <v>2.83</v>
      </c>
      <c r="S85">
        <v>1.33</v>
      </c>
      <c r="T85">
        <v>1.5</v>
      </c>
      <c r="U85" t="s">
        <v>54</v>
      </c>
      <c r="V85" t="s">
        <v>73</v>
      </c>
      <c r="W85">
        <v>5</v>
      </c>
      <c r="X85" s="25" t="s">
        <v>490</v>
      </c>
    </row>
    <row r="86" spans="1:24" x14ac:dyDescent="0.55000000000000004">
      <c r="A86" t="s">
        <v>208</v>
      </c>
      <c r="B86" s="24">
        <v>45380</v>
      </c>
      <c r="C86" t="s">
        <v>33</v>
      </c>
      <c r="D86" t="s">
        <v>57</v>
      </c>
      <c r="E86" t="s">
        <v>486</v>
      </c>
      <c r="F86" t="s">
        <v>487</v>
      </c>
      <c r="G86" t="s">
        <v>163</v>
      </c>
      <c r="H86" t="s">
        <v>164</v>
      </c>
      <c r="I86" t="s">
        <v>165</v>
      </c>
      <c r="J86" t="s">
        <v>39</v>
      </c>
      <c r="K86" t="s">
        <v>85</v>
      </c>
      <c r="L86" t="s">
        <v>41</v>
      </c>
      <c r="M86" t="s">
        <v>109</v>
      </c>
      <c r="N86">
        <v>1</v>
      </c>
      <c r="O86">
        <v>2.48</v>
      </c>
      <c r="P86">
        <v>2.48</v>
      </c>
      <c r="Q86">
        <v>0</v>
      </c>
      <c r="R86">
        <v>2.48</v>
      </c>
      <c r="S86">
        <v>1.17</v>
      </c>
      <c r="T86">
        <v>1.31</v>
      </c>
      <c r="U86" t="s">
        <v>43</v>
      </c>
      <c r="V86" t="s">
        <v>44</v>
      </c>
      <c r="W86">
        <v>4</v>
      </c>
      <c r="X86" s="25" t="s">
        <v>490</v>
      </c>
    </row>
    <row r="87" spans="1:24" x14ac:dyDescent="0.55000000000000004">
      <c r="A87" t="s">
        <v>209</v>
      </c>
      <c r="B87" s="24">
        <v>45381</v>
      </c>
      <c r="C87" t="s">
        <v>33</v>
      </c>
      <c r="D87" t="s">
        <v>69</v>
      </c>
      <c r="E87" t="s">
        <v>486</v>
      </c>
      <c r="F87" t="s">
        <v>487</v>
      </c>
      <c r="G87" t="s">
        <v>89</v>
      </c>
      <c r="H87" t="s">
        <v>90</v>
      </c>
      <c r="I87" t="s">
        <v>91</v>
      </c>
      <c r="J87" t="s">
        <v>39</v>
      </c>
      <c r="K87" t="s">
        <v>92</v>
      </c>
      <c r="L87" t="s">
        <v>52</v>
      </c>
      <c r="M87" t="s">
        <v>169</v>
      </c>
      <c r="N87">
        <v>3</v>
      </c>
      <c r="O87">
        <v>2.94</v>
      </c>
      <c r="P87">
        <v>8.82</v>
      </c>
      <c r="Q87">
        <v>0.44</v>
      </c>
      <c r="R87">
        <v>8.3800000000000008</v>
      </c>
      <c r="S87">
        <v>3.23</v>
      </c>
      <c r="T87">
        <v>5.15</v>
      </c>
      <c r="U87" t="s">
        <v>123</v>
      </c>
      <c r="V87" t="s">
        <v>73</v>
      </c>
      <c r="W87">
        <v>4</v>
      </c>
      <c r="X87" s="25" t="s">
        <v>490</v>
      </c>
    </row>
    <row r="88" spans="1:24" x14ac:dyDescent="0.55000000000000004">
      <c r="A88" t="s">
        <v>210</v>
      </c>
      <c r="B88" s="24">
        <v>45382</v>
      </c>
      <c r="C88" t="s">
        <v>33</v>
      </c>
      <c r="D88" t="s">
        <v>99</v>
      </c>
      <c r="E88" t="s">
        <v>486</v>
      </c>
      <c r="F88" t="s">
        <v>487</v>
      </c>
      <c r="G88" t="s">
        <v>104</v>
      </c>
      <c r="H88" t="s">
        <v>105</v>
      </c>
      <c r="I88" t="s">
        <v>106</v>
      </c>
      <c r="J88" t="s">
        <v>39</v>
      </c>
      <c r="K88" t="s">
        <v>85</v>
      </c>
      <c r="L88" t="s">
        <v>52</v>
      </c>
      <c r="M88" t="s">
        <v>169</v>
      </c>
      <c r="N88">
        <v>1</v>
      </c>
      <c r="O88">
        <v>3.08</v>
      </c>
      <c r="P88">
        <v>3.08</v>
      </c>
      <c r="Q88">
        <v>0.62</v>
      </c>
      <c r="R88">
        <v>2.46</v>
      </c>
      <c r="S88">
        <v>0.88</v>
      </c>
      <c r="T88">
        <v>1.58</v>
      </c>
      <c r="U88" t="s">
        <v>43</v>
      </c>
      <c r="V88" t="s">
        <v>55</v>
      </c>
      <c r="W88">
        <v>3</v>
      </c>
      <c r="X88" s="25" t="s">
        <v>492</v>
      </c>
    </row>
    <row r="89" spans="1:24" x14ac:dyDescent="0.55000000000000004">
      <c r="A89" t="s">
        <v>211</v>
      </c>
      <c r="B89" s="24">
        <v>45384</v>
      </c>
      <c r="C89" t="s">
        <v>212</v>
      </c>
      <c r="D89" t="s">
        <v>81</v>
      </c>
      <c r="E89" t="s">
        <v>484</v>
      </c>
      <c r="F89" t="s">
        <v>485</v>
      </c>
      <c r="G89" t="s">
        <v>82</v>
      </c>
      <c r="H89" t="s">
        <v>83</v>
      </c>
      <c r="I89" t="s">
        <v>84</v>
      </c>
      <c r="J89" t="s">
        <v>39</v>
      </c>
      <c r="K89" t="s">
        <v>85</v>
      </c>
      <c r="L89" t="s">
        <v>78</v>
      </c>
      <c r="M89" t="s">
        <v>138</v>
      </c>
      <c r="N89">
        <v>2</v>
      </c>
      <c r="O89">
        <v>4.4000000000000004</v>
      </c>
      <c r="P89">
        <v>8.8000000000000007</v>
      </c>
      <c r="Q89">
        <v>0.44</v>
      </c>
      <c r="R89">
        <v>8.36</v>
      </c>
      <c r="S89">
        <v>2.93</v>
      </c>
      <c r="T89">
        <v>5.43</v>
      </c>
      <c r="U89" t="s">
        <v>123</v>
      </c>
      <c r="V89" t="s">
        <v>44</v>
      </c>
      <c r="W89">
        <v>4</v>
      </c>
      <c r="X89" s="25" t="s">
        <v>490</v>
      </c>
    </row>
    <row r="90" spans="1:24" x14ac:dyDescent="0.55000000000000004">
      <c r="A90" t="s">
        <v>213</v>
      </c>
      <c r="B90" s="24">
        <v>45384</v>
      </c>
      <c r="C90" t="s">
        <v>212</v>
      </c>
      <c r="D90" t="s">
        <v>81</v>
      </c>
      <c r="E90" t="s">
        <v>484</v>
      </c>
      <c r="F90" t="s">
        <v>485</v>
      </c>
      <c r="G90" t="s">
        <v>76</v>
      </c>
      <c r="H90" t="s">
        <v>77</v>
      </c>
      <c r="I90" t="s">
        <v>38</v>
      </c>
      <c r="J90" t="s">
        <v>39</v>
      </c>
      <c r="K90" t="s">
        <v>40</v>
      </c>
      <c r="L90" t="s">
        <v>52</v>
      </c>
      <c r="M90" t="s">
        <v>53</v>
      </c>
      <c r="N90">
        <v>1</v>
      </c>
      <c r="O90">
        <v>2.5499999999999998</v>
      </c>
      <c r="P90">
        <v>2.5499999999999998</v>
      </c>
      <c r="Q90">
        <v>0</v>
      </c>
      <c r="R90">
        <v>2.5499999999999998</v>
      </c>
      <c r="S90">
        <v>1.36</v>
      </c>
      <c r="T90">
        <v>1.19</v>
      </c>
      <c r="U90" t="s">
        <v>72</v>
      </c>
      <c r="V90" t="s">
        <v>63</v>
      </c>
      <c r="W90">
        <v>5</v>
      </c>
      <c r="X90" s="25" t="s">
        <v>490</v>
      </c>
    </row>
    <row r="91" spans="1:24" x14ac:dyDescent="0.55000000000000004">
      <c r="A91" t="s">
        <v>214</v>
      </c>
      <c r="B91" s="24">
        <v>45384</v>
      </c>
      <c r="C91" t="s">
        <v>212</v>
      </c>
      <c r="D91" t="s">
        <v>81</v>
      </c>
      <c r="E91" t="s">
        <v>488</v>
      </c>
      <c r="F91" t="s">
        <v>489</v>
      </c>
      <c r="G91" t="s">
        <v>89</v>
      </c>
      <c r="H91" t="s">
        <v>90</v>
      </c>
      <c r="I91" t="s">
        <v>91</v>
      </c>
      <c r="J91" t="s">
        <v>39</v>
      </c>
      <c r="K91" t="s">
        <v>92</v>
      </c>
      <c r="L91" t="s">
        <v>100</v>
      </c>
      <c r="M91" t="s">
        <v>215</v>
      </c>
      <c r="N91">
        <v>2</v>
      </c>
      <c r="O91">
        <v>8.09</v>
      </c>
      <c r="P91">
        <v>16.18</v>
      </c>
      <c r="Q91">
        <v>0</v>
      </c>
      <c r="R91">
        <v>16.18</v>
      </c>
      <c r="S91">
        <v>6.61</v>
      </c>
      <c r="T91">
        <v>9.57</v>
      </c>
      <c r="U91" t="s">
        <v>54</v>
      </c>
      <c r="V91" t="s">
        <v>144</v>
      </c>
      <c r="W91">
        <v>5</v>
      </c>
      <c r="X91" s="25" t="s">
        <v>490</v>
      </c>
    </row>
    <row r="92" spans="1:24" x14ac:dyDescent="0.55000000000000004">
      <c r="A92" t="s">
        <v>216</v>
      </c>
      <c r="B92" s="24">
        <v>45385</v>
      </c>
      <c r="C92" t="s">
        <v>212</v>
      </c>
      <c r="D92" t="s">
        <v>34</v>
      </c>
      <c r="E92" t="s">
        <v>482</v>
      </c>
      <c r="F92" t="s">
        <v>483</v>
      </c>
      <c r="G92" t="s">
        <v>76</v>
      </c>
      <c r="H92" t="s">
        <v>77</v>
      </c>
      <c r="I92" t="s">
        <v>38</v>
      </c>
      <c r="J92" t="s">
        <v>39</v>
      </c>
      <c r="K92" t="s">
        <v>40</v>
      </c>
      <c r="L92" t="s">
        <v>100</v>
      </c>
      <c r="M92" t="s">
        <v>215</v>
      </c>
      <c r="N92">
        <v>3</v>
      </c>
      <c r="O92">
        <v>7.97</v>
      </c>
      <c r="P92">
        <v>23.91</v>
      </c>
      <c r="Q92">
        <v>0</v>
      </c>
      <c r="R92">
        <v>23.91</v>
      </c>
      <c r="S92">
        <v>8.58</v>
      </c>
      <c r="T92">
        <v>15.33</v>
      </c>
      <c r="U92" t="s">
        <v>93</v>
      </c>
      <c r="V92" t="s">
        <v>144</v>
      </c>
      <c r="W92">
        <v>5</v>
      </c>
      <c r="X92" s="25" t="s">
        <v>490</v>
      </c>
    </row>
    <row r="93" spans="1:24" x14ac:dyDescent="0.55000000000000004">
      <c r="A93" t="s">
        <v>217</v>
      </c>
      <c r="B93" s="24">
        <v>45388</v>
      </c>
      <c r="C93" t="s">
        <v>212</v>
      </c>
      <c r="D93" t="s">
        <v>69</v>
      </c>
      <c r="E93" t="s">
        <v>488</v>
      </c>
      <c r="F93" t="s">
        <v>489</v>
      </c>
      <c r="G93" t="s">
        <v>36</v>
      </c>
      <c r="H93" t="s">
        <v>37</v>
      </c>
      <c r="I93" t="s">
        <v>38</v>
      </c>
      <c r="J93" t="s">
        <v>39</v>
      </c>
      <c r="K93" t="s">
        <v>40</v>
      </c>
      <c r="L93" t="s">
        <v>61</v>
      </c>
      <c r="M93" t="s">
        <v>119</v>
      </c>
      <c r="N93">
        <v>1</v>
      </c>
      <c r="O93">
        <v>7.11</v>
      </c>
      <c r="P93">
        <v>7.11</v>
      </c>
      <c r="Q93">
        <v>0</v>
      </c>
      <c r="R93">
        <v>7.11</v>
      </c>
      <c r="S93">
        <v>3.55</v>
      </c>
      <c r="T93">
        <v>3.56</v>
      </c>
      <c r="U93" t="s">
        <v>54</v>
      </c>
      <c r="V93" t="s">
        <v>63</v>
      </c>
      <c r="W93">
        <v>5</v>
      </c>
      <c r="X93" s="25" t="s">
        <v>490</v>
      </c>
    </row>
    <row r="94" spans="1:24" x14ac:dyDescent="0.55000000000000004">
      <c r="A94" t="s">
        <v>218</v>
      </c>
      <c r="B94" s="24">
        <v>45388</v>
      </c>
      <c r="C94" t="s">
        <v>212</v>
      </c>
      <c r="D94" t="s">
        <v>69</v>
      </c>
      <c r="E94" t="s">
        <v>482</v>
      </c>
      <c r="F94" t="s">
        <v>483</v>
      </c>
      <c r="G94" t="s">
        <v>131</v>
      </c>
      <c r="H94" t="s">
        <v>132</v>
      </c>
      <c r="I94" t="s">
        <v>133</v>
      </c>
      <c r="J94" t="s">
        <v>39</v>
      </c>
      <c r="K94" t="s">
        <v>134</v>
      </c>
      <c r="L94" t="s">
        <v>52</v>
      </c>
      <c r="M94" t="s">
        <v>169</v>
      </c>
      <c r="N94">
        <v>1</v>
      </c>
      <c r="O94">
        <v>2.94</v>
      </c>
      <c r="P94">
        <v>2.94</v>
      </c>
      <c r="Q94">
        <v>0.44</v>
      </c>
      <c r="R94">
        <v>2.5</v>
      </c>
      <c r="S94">
        <v>1.03</v>
      </c>
      <c r="T94">
        <v>1.47</v>
      </c>
      <c r="U94" t="s">
        <v>102</v>
      </c>
      <c r="V94" t="s">
        <v>44</v>
      </c>
      <c r="W94">
        <v>5</v>
      </c>
      <c r="X94" s="25" t="s">
        <v>493</v>
      </c>
    </row>
    <row r="95" spans="1:24" x14ac:dyDescent="0.55000000000000004">
      <c r="A95" t="s">
        <v>219</v>
      </c>
      <c r="B95" s="24">
        <v>45388</v>
      </c>
      <c r="C95" t="s">
        <v>212</v>
      </c>
      <c r="D95" t="s">
        <v>69</v>
      </c>
      <c r="E95" t="s">
        <v>484</v>
      </c>
      <c r="F95" t="s">
        <v>485</v>
      </c>
      <c r="G95" t="s">
        <v>48</v>
      </c>
      <c r="H95" t="s">
        <v>49</v>
      </c>
      <c r="I95" t="s">
        <v>50</v>
      </c>
      <c r="J95" t="s">
        <v>39</v>
      </c>
      <c r="K95" t="s">
        <v>51</v>
      </c>
      <c r="L95" t="s">
        <v>41</v>
      </c>
      <c r="M95" t="s">
        <v>220</v>
      </c>
      <c r="N95">
        <v>3</v>
      </c>
      <c r="O95">
        <v>4.05</v>
      </c>
      <c r="P95">
        <v>12.15</v>
      </c>
      <c r="Q95">
        <v>1.82</v>
      </c>
      <c r="R95">
        <v>10.33</v>
      </c>
      <c r="S95">
        <v>5.31</v>
      </c>
      <c r="T95">
        <v>5.0199999999999996</v>
      </c>
      <c r="U95" t="s">
        <v>43</v>
      </c>
      <c r="V95" t="s">
        <v>44</v>
      </c>
      <c r="W95">
        <v>4</v>
      </c>
      <c r="X95" s="25" t="s">
        <v>493</v>
      </c>
    </row>
    <row r="96" spans="1:24" x14ac:dyDescent="0.55000000000000004">
      <c r="A96" t="s">
        <v>221</v>
      </c>
      <c r="B96" s="24">
        <v>45389</v>
      </c>
      <c r="C96" t="s">
        <v>212</v>
      </c>
      <c r="D96" t="s">
        <v>99</v>
      </c>
      <c r="E96" t="s">
        <v>482</v>
      </c>
      <c r="F96" t="s">
        <v>483</v>
      </c>
      <c r="G96" t="s">
        <v>163</v>
      </c>
      <c r="H96" t="s">
        <v>164</v>
      </c>
      <c r="I96" t="s">
        <v>165</v>
      </c>
      <c r="J96" t="s">
        <v>39</v>
      </c>
      <c r="K96" t="s">
        <v>85</v>
      </c>
      <c r="L96" t="s">
        <v>52</v>
      </c>
      <c r="M96" t="s">
        <v>180</v>
      </c>
      <c r="N96">
        <v>2</v>
      </c>
      <c r="O96">
        <v>3.82</v>
      </c>
      <c r="P96">
        <v>7.64</v>
      </c>
      <c r="Q96">
        <v>0</v>
      </c>
      <c r="R96">
        <v>7.64</v>
      </c>
      <c r="S96">
        <v>4.1100000000000003</v>
      </c>
      <c r="T96">
        <v>3.53</v>
      </c>
      <c r="U96" t="s">
        <v>123</v>
      </c>
      <c r="V96" t="s">
        <v>87</v>
      </c>
      <c r="W96">
        <v>5</v>
      </c>
      <c r="X96" s="25" t="s">
        <v>490</v>
      </c>
    </row>
    <row r="97" spans="1:24" x14ac:dyDescent="0.55000000000000004">
      <c r="A97" t="s">
        <v>222</v>
      </c>
      <c r="B97" s="24">
        <v>45389</v>
      </c>
      <c r="C97" t="s">
        <v>212</v>
      </c>
      <c r="D97" t="s">
        <v>99</v>
      </c>
      <c r="E97" t="s">
        <v>486</v>
      </c>
      <c r="F97" t="s">
        <v>487</v>
      </c>
      <c r="G97" t="s">
        <v>82</v>
      </c>
      <c r="H97" t="s">
        <v>83</v>
      </c>
      <c r="I97" t="s">
        <v>84</v>
      </c>
      <c r="J97" t="s">
        <v>39</v>
      </c>
      <c r="K97" t="s">
        <v>85</v>
      </c>
      <c r="L97" t="s">
        <v>100</v>
      </c>
      <c r="M97" t="s">
        <v>215</v>
      </c>
      <c r="N97">
        <v>2</v>
      </c>
      <c r="O97">
        <v>7.95</v>
      </c>
      <c r="P97">
        <v>15.9</v>
      </c>
      <c r="Q97">
        <v>0</v>
      </c>
      <c r="R97">
        <v>15.9</v>
      </c>
      <c r="S97">
        <v>7.88</v>
      </c>
      <c r="T97">
        <v>8.02</v>
      </c>
      <c r="U97" t="s">
        <v>54</v>
      </c>
      <c r="V97" t="s">
        <v>73</v>
      </c>
      <c r="W97">
        <v>3</v>
      </c>
      <c r="X97" s="25" t="s">
        <v>490</v>
      </c>
    </row>
    <row r="98" spans="1:24" x14ac:dyDescent="0.55000000000000004">
      <c r="A98" t="s">
        <v>223</v>
      </c>
      <c r="B98" s="24">
        <v>45389</v>
      </c>
      <c r="C98" t="s">
        <v>212</v>
      </c>
      <c r="D98" t="s">
        <v>99</v>
      </c>
      <c r="E98" t="s">
        <v>484</v>
      </c>
      <c r="F98" t="s">
        <v>485</v>
      </c>
      <c r="G98" t="s">
        <v>131</v>
      </c>
      <c r="H98" t="s">
        <v>132</v>
      </c>
      <c r="I98" t="s">
        <v>133</v>
      </c>
      <c r="J98" t="s">
        <v>39</v>
      </c>
      <c r="K98" t="s">
        <v>134</v>
      </c>
      <c r="L98" t="s">
        <v>61</v>
      </c>
      <c r="M98" t="s">
        <v>121</v>
      </c>
      <c r="N98">
        <v>4</v>
      </c>
      <c r="O98">
        <v>9.36</v>
      </c>
      <c r="P98">
        <v>37.44</v>
      </c>
      <c r="Q98">
        <v>3.74</v>
      </c>
      <c r="R98">
        <v>33.700000000000003</v>
      </c>
      <c r="S98">
        <v>14.59</v>
      </c>
      <c r="T98">
        <v>19.11</v>
      </c>
      <c r="U98" t="s">
        <v>43</v>
      </c>
      <c r="V98" t="s">
        <v>55</v>
      </c>
      <c r="W98">
        <v>4</v>
      </c>
      <c r="X98" s="25" t="s">
        <v>491</v>
      </c>
    </row>
    <row r="99" spans="1:24" x14ac:dyDescent="0.55000000000000004">
      <c r="A99" t="s">
        <v>224</v>
      </c>
      <c r="B99" s="24">
        <v>45391</v>
      </c>
      <c r="C99" t="s">
        <v>212</v>
      </c>
      <c r="D99" t="s">
        <v>81</v>
      </c>
      <c r="E99" t="s">
        <v>486</v>
      </c>
      <c r="F99" t="s">
        <v>487</v>
      </c>
      <c r="G99" t="s">
        <v>114</v>
      </c>
      <c r="H99" t="s">
        <v>115</v>
      </c>
      <c r="I99" t="s">
        <v>116</v>
      </c>
      <c r="J99" t="s">
        <v>39</v>
      </c>
      <c r="K99" t="s">
        <v>51</v>
      </c>
      <c r="L99" t="s">
        <v>61</v>
      </c>
      <c r="M99" t="s">
        <v>119</v>
      </c>
      <c r="N99">
        <v>2</v>
      </c>
      <c r="O99">
        <v>6.99</v>
      </c>
      <c r="P99">
        <v>13.98</v>
      </c>
      <c r="Q99">
        <v>1.4</v>
      </c>
      <c r="R99">
        <v>12.58</v>
      </c>
      <c r="S99">
        <v>5.52</v>
      </c>
      <c r="T99">
        <v>7.06</v>
      </c>
      <c r="U99" t="s">
        <v>93</v>
      </c>
      <c r="V99" t="s">
        <v>144</v>
      </c>
      <c r="W99">
        <v>2</v>
      </c>
      <c r="X99" s="25" t="s">
        <v>491</v>
      </c>
    </row>
    <row r="100" spans="1:24" x14ac:dyDescent="0.55000000000000004">
      <c r="A100" t="s">
        <v>225</v>
      </c>
      <c r="B100" s="24">
        <v>45392</v>
      </c>
      <c r="C100" t="s">
        <v>212</v>
      </c>
      <c r="D100" t="s">
        <v>34</v>
      </c>
      <c r="E100" t="s">
        <v>482</v>
      </c>
      <c r="F100" t="s">
        <v>483</v>
      </c>
      <c r="G100" t="s">
        <v>89</v>
      </c>
      <c r="H100" t="s">
        <v>90</v>
      </c>
      <c r="I100" t="s">
        <v>91</v>
      </c>
      <c r="J100" t="s">
        <v>39</v>
      </c>
      <c r="K100" t="s">
        <v>92</v>
      </c>
      <c r="L100" t="s">
        <v>41</v>
      </c>
      <c r="M100" t="s">
        <v>109</v>
      </c>
      <c r="N100">
        <v>1</v>
      </c>
      <c r="O100">
        <v>2.48</v>
      </c>
      <c r="P100">
        <v>2.48</v>
      </c>
      <c r="Q100">
        <v>0</v>
      </c>
      <c r="R100">
        <v>2.48</v>
      </c>
      <c r="S100">
        <v>1.04</v>
      </c>
      <c r="T100">
        <v>1.44</v>
      </c>
      <c r="U100" t="s">
        <v>54</v>
      </c>
      <c r="V100" t="s">
        <v>144</v>
      </c>
      <c r="W100">
        <v>1</v>
      </c>
      <c r="X100" s="25" t="s">
        <v>490</v>
      </c>
    </row>
    <row r="101" spans="1:24" x14ac:dyDescent="0.55000000000000004">
      <c r="A101" t="s">
        <v>226</v>
      </c>
      <c r="B101" s="24">
        <v>45395</v>
      </c>
      <c r="C101" t="s">
        <v>212</v>
      </c>
      <c r="D101" t="s">
        <v>69</v>
      </c>
      <c r="E101" t="s">
        <v>486</v>
      </c>
      <c r="F101" t="s">
        <v>487</v>
      </c>
      <c r="G101" t="s">
        <v>89</v>
      </c>
      <c r="H101" t="s">
        <v>90</v>
      </c>
      <c r="I101" t="s">
        <v>91</v>
      </c>
      <c r="J101" t="s">
        <v>39</v>
      </c>
      <c r="K101" t="s">
        <v>92</v>
      </c>
      <c r="L101" t="s">
        <v>66</v>
      </c>
      <c r="M101" t="s">
        <v>67</v>
      </c>
      <c r="N101">
        <v>2</v>
      </c>
      <c r="O101">
        <v>0.98</v>
      </c>
      <c r="P101">
        <v>1.96</v>
      </c>
      <c r="Q101">
        <v>0.1</v>
      </c>
      <c r="R101">
        <v>1.86</v>
      </c>
      <c r="S101">
        <v>0.87</v>
      </c>
      <c r="T101">
        <v>0.99</v>
      </c>
      <c r="U101" t="s">
        <v>93</v>
      </c>
      <c r="V101" t="s">
        <v>144</v>
      </c>
      <c r="W101">
        <v>5</v>
      </c>
      <c r="X101" s="25" t="s">
        <v>490</v>
      </c>
    </row>
    <row r="102" spans="1:24" x14ac:dyDescent="0.55000000000000004">
      <c r="A102" t="s">
        <v>227</v>
      </c>
      <c r="B102" s="24">
        <v>45396</v>
      </c>
      <c r="C102" t="s">
        <v>212</v>
      </c>
      <c r="D102" t="s">
        <v>99</v>
      </c>
      <c r="E102" t="s">
        <v>486</v>
      </c>
      <c r="F102" t="s">
        <v>487</v>
      </c>
      <c r="G102" t="s">
        <v>76</v>
      </c>
      <c r="H102" t="s">
        <v>77</v>
      </c>
      <c r="I102" t="s">
        <v>38</v>
      </c>
      <c r="J102" t="s">
        <v>39</v>
      </c>
      <c r="K102" t="s">
        <v>40</v>
      </c>
      <c r="L102" t="s">
        <v>61</v>
      </c>
      <c r="M102" t="s">
        <v>161</v>
      </c>
      <c r="N102">
        <v>1</v>
      </c>
      <c r="O102">
        <v>11.08</v>
      </c>
      <c r="P102">
        <v>11.08</v>
      </c>
      <c r="Q102">
        <v>1.1100000000000001</v>
      </c>
      <c r="R102">
        <v>9.9700000000000006</v>
      </c>
      <c r="S102">
        <v>4.8499999999999996</v>
      </c>
      <c r="T102">
        <v>5.12</v>
      </c>
      <c r="U102" t="s">
        <v>102</v>
      </c>
      <c r="V102" t="s">
        <v>55</v>
      </c>
      <c r="W102">
        <v>4</v>
      </c>
      <c r="X102" s="25" t="s">
        <v>491</v>
      </c>
    </row>
    <row r="103" spans="1:24" x14ac:dyDescent="0.55000000000000004">
      <c r="A103" t="s">
        <v>228</v>
      </c>
      <c r="B103" s="24">
        <v>45397</v>
      </c>
      <c r="C103" t="s">
        <v>212</v>
      </c>
      <c r="D103" t="s">
        <v>75</v>
      </c>
      <c r="E103" t="s">
        <v>484</v>
      </c>
      <c r="F103" t="s">
        <v>485</v>
      </c>
      <c r="G103" t="s">
        <v>36</v>
      </c>
      <c r="H103" t="s">
        <v>37</v>
      </c>
      <c r="I103" t="s">
        <v>38</v>
      </c>
      <c r="J103" t="s">
        <v>39</v>
      </c>
      <c r="K103" t="s">
        <v>40</v>
      </c>
      <c r="L103" t="s">
        <v>78</v>
      </c>
      <c r="M103" t="s">
        <v>97</v>
      </c>
      <c r="N103">
        <v>3</v>
      </c>
      <c r="O103">
        <v>3.34</v>
      </c>
      <c r="P103">
        <v>10.02</v>
      </c>
      <c r="Q103">
        <v>0</v>
      </c>
      <c r="R103">
        <v>10.02</v>
      </c>
      <c r="S103">
        <v>4.07</v>
      </c>
      <c r="T103">
        <v>5.95</v>
      </c>
      <c r="U103" t="s">
        <v>93</v>
      </c>
      <c r="V103" t="s">
        <v>144</v>
      </c>
      <c r="W103">
        <v>4</v>
      </c>
      <c r="X103" s="25" t="s">
        <v>490</v>
      </c>
    </row>
    <row r="104" spans="1:24" x14ac:dyDescent="0.55000000000000004">
      <c r="A104" t="s">
        <v>229</v>
      </c>
      <c r="B104" s="24">
        <v>45397</v>
      </c>
      <c r="C104" t="s">
        <v>212</v>
      </c>
      <c r="D104" t="s">
        <v>75</v>
      </c>
      <c r="E104" t="s">
        <v>486</v>
      </c>
      <c r="F104" t="s">
        <v>487</v>
      </c>
      <c r="G104" t="s">
        <v>76</v>
      </c>
      <c r="H104" t="s">
        <v>77</v>
      </c>
      <c r="I104" t="s">
        <v>38</v>
      </c>
      <c r="J104" t="s">
        <v>39</v>
      </c>
      <c r="K104" t="s">
        <v>40</v>
      </c>
      <c r="L104" t="s">
        <v>52</v>
      </c>
      <c r="M104" t="s">
        <v>71</v>
      </c>
      <c r="N104">
        <v>5</v>
      </c>
      <c r="O104">
        <v>3.98</v>
      </c>
      <c r="P104">
        <v>19.899999999999999</v>
      </c>
      <c r="Q104">
        <v>0</v>
      </c>
      <c r="R104">
        <v>19.899999999999999</v>
      </c>
      <c r="S104">
        <v>10.09</v>
      </c>
      <c r="T104">
        <v>9.81</v>
      </c>
      <c r="U104" t="s">
        <v>72</v>
      </c>
      <c r="V104" t="s">
        <v>63</v>
      </c>
      <c r="W104">
        <v>4</v>
      </c>
      <c r="X104" s="25" t="s">
        <v>490</v>
      </c>
    </row>
    <row r="105" spans="1:24" x14ac:dyDescent="0.55000000000000004">
      <c r="A105" t="s">
        <v>230</v>
      </c>
      <c r="B105" s="24">
        <v>45397</v>
      </c>
      <c r="C105" t="s">
        <v>212</v>
      </c>
      <c r="D105" t="s">
        <v>75</v>
      </c>
      <c r="E105" t="s">
        <v>486</v>
      </c>
      <c r="F105" t="s">
        <v>487</v>
      </c>
      <c r="G105" t="s">
        <v>89</v>
      </c>
      <c r="H105" t="s">
        <v>90</v>
      </c>
      <c r="I105" t="s">
        <v>91</v>
      </c>
      <c r="J105" t="s">
        <v>39</v>
      </c>
      <c r="K105" t="s">
        <v>92</v>
      </c>
      <c r="L105" t="s">
        <v>78</v>
      </c>
      <c r="M105" t="s">
        <v>138</v>
      </c>
      <c r="N105">
        <v>2</v>
      </c>
      <c r="O105">
        <v>4.47</v>
      </c>
      <c r="P105">
        <v>8.94</v>
      </c>
      <c r="Q105">
        <v>0.45</v>
      </c>
      <c r="R105">
        <v>8.49</v>
      </c>
      <c r="S105">
        <v>3.51</v>
      </c>
      <c r="T105">
        <v>4.9800000000000004</v>
      </c>
      <c r="U105" t="s">
        <v>123</v>
      </c>
      <c r="V105" t="s">
        <v>144</v>
      </c>
      <c r="W105">
        <v>3</v>
      </c>
      <c r="X105" s="25" t="s">
        <v>490</v>
      </c>
    </row>
    <row r="106" spans="1:24" x14ac:dyDescent="0.55000000000000004">
      <c r="A106" t="s">
        <v>231</v>
      </c>
      <c r="B106" s="24">
        <v>45401</v>
      </c>
      <c r="C106" t="s">
        <v>212</v>
      </c>
      <c r="D106" t="s">
        <v>57</v>
      </c>
      <c r="E106" t="s">
        <v>488</v>
      </c>
      <c r="F106" t="s">
        <v>489</v>
      </c>
      <c r="G106" t="s">
        <v>114</v>
      </c>
      <c r="H106" t="s">
        <v>115</v>
      </c>
      <c r="I106" t="s">
        <v>116</v>
      </c>
      <c r="J106" t="s">
        <v>39</v>
      </c>
      <c r="K106" t="s">
        <v>51</v>
      </c>
      <c r="L106" t="s">
        <v>100</v>
      </c>
      <c r="M106" t="s">
        <v>111</v>
      </c>
      <c r="N106">
        <v>1</v>
      </c>
      <c r="O106">
        <v>6.16</v>
      </c>
      <c r="P106">
        <v>6.16</v>
      </c>
      <c r="Q106">
        <v>0</v>
      </c>
      <c r="R106">
        <v>6.16</v>
      </c>
      <c r="S106">
        <v>3.12</v>
      </c>
      <c r="T106">
        <v>3.04</v>
      </c>
      <c r="U106" t="s">
        <v>72</v>
      </c>
      <c r="V106" t="s">
        <v>55</v>
      </c>
      <c r="W106">
        <v>5</v>
      </c>
      <c r="X106" s="25" t="s">
        <v>490</v>
      </c>
    </row>
    <row r="107" spans="1:24" x14ac:dyDescent="0.55000000000000004">
      <c r="A107" t="s">
        <v>232</v>
      </c>
      <c r="B107" s="24">
        <v>45402</v>
      </c>
      <c r="C107" t="s">
        <v>212</v>
      </c>
      <c r="D107" t="s">
        <v>69</v>
      </c>
      <c r="E107" t="s">
        <v>482</v>
      </c>
      <c r="F107" t="s">
        <v>483</v>
      </c>
      <c r="G107" t="s">
        <v>114</v>
      </c>
      <c r="H107" t="s">
        <v>115</v>
      </c>
      <c r="I107" t="s">
        <v>116</v>
      </c>
      <c r="J107" t="s">
        <v>39</v>
      </c>
      <c r="K107" t="s">
        <v>51</v>
      </c>
      <c r="L107" t="s">
        <v>78</v>
      </c>
      <c r="M107" t="s">
        <v>79</v>
      </c>
      <c r="N107">
        <v>2</v>
      </c>
      <c r="O107">
        <v>3.56</v>
      </c>
      <c r="P107">
        <v>7.12</v>
      </c>
      <c r="Q107">
        <v>0</v>
      </c>
      <c r="R107">
        <v>7.12</v>
      </c>
      <c r="S107">
        <v>3.53</v>
      </c>
      <c r="T107">
        <v>3.59</v>
      </c>
      <c r="U107" t="s">
        <v>123</v>
      </c>
      <c r="V107" t="s">
        <v>63</v>
      </c>
      <c r="W107">
        <v>5</v>
      </c>
      <c r="X107" s="25" t="s">
        <v>490</v>
      </c>
    </row>
    <row r="108" spans="1:24" x14ac:dyDescent="0.55000000000000004">
      <c r="A108" t="s">
        <v>233</v>
      </c>
      <c r="B108" s="24">
        <v>45404</v>
      </c>
      <c r="C108" t="s">
        <v>212</v>
      </c>
      <c r="D108" t="s">
        <v>75</v>
      </c>
      <c r="E108" t="s">
        <v>488</v>
      </c>
      <c r="F108" t="s">
        <v>489</v>
      </c>
      <c r="G108" t="s">
        <v>58</v>
      </c>
      <c r="H108" t="s">
        <v>59</v>
      </c>
      <c r="I108" t="s">
        <v>60</v>
      </c>
      <c r="J108" t="s">
        <v>39</v>
      </c>
      <c r="K108" t="s">
        <v>40</v>
      </c>
      <c r="L108" t="s">
        <v>100</v>
      </c>
      <c r="M108" t="s">
        <v>101</v>
      </c>
      <c r="N108">
        <v>1</v>
      </c>
      <c r="O108">
        <v>3.45</v>
      </c>
      <c r="P108">
        <v>3.45</v>
      </c>
      <c r="Q108">
        <v>0.35</v>
      </c>
      <c r="R108">
        <v>3.1</v>
      </c>
      <c r="S108">
        <v>1.44</v>
      </c>
      <c r="T108">
        <v>1.66</v>
      </c>
      <c r="U108" t="s">
        <v>72</v>
      </c>
      <c r="V108" t="s">
        <v>87</v>
      </c>
      <c r="W108">
        <v>3</v>
      </c>
      <c r="X108" s="25" t="s">
        <v>491</v>
      </c>
    </row>
    <row r="109" spans="1:24" x14ac:dyDescent="0.55000000000000004">
      <c r="A109" t="s">
        <v>234</v>
      </c>
      <c r="B109" s="24">
        <v>45405</v>
      </c>
      <c r="C109" t="s">
        <v>212</v>
      </c>
      <c r="D109" t="s">
        <v>81</v>
      </c>
      <c r="E109" t="s">
        <v>488</v>
      </c>
      <c r="F109" t="s">
        <v>489</v>
      </c>
      <c r="G109" t="s">
        <v>163</v>
      </c>
      <c r="H109" t="s">
        <v>164</v>
      </c>
      <c r="I109" t="s">
        <v>165</v>
      </c>
      <c r="J109" t="s">
        <v>39</v>
      </c>
      <c r="K109" t="s">
        <v>85</v>
      </c>
      <c r="L109" t="s">
        <v>41</v>
      </c>
      <c r="M109" t="s">
        <v>154</v>
      </c>
      <c r="N109">
        <v>4</v>
      </c>
      <c r="O109">
        <v>1.48</v>
      </c>
      <c r="P109">
        <v>5.92</v>
      </c>
      <c r="Q109">
        <v>0.89</v>
      </c>
      <c r="R109">
        <v>5.03</v>
      </c>
      <c r="S109">
        <v>2.13</v>
      </c>
      <c r="T109">
        <v>2.9</v>
      </c>
      <c r="U109" t="s">
        <v>43</v>
      </c>
      <c r="V109" t="s">
        <v>55</v>
      </c>
      <c r="W109">
        <v>5</v>
      </c>
      <c r="X109" s="25" t="s">
        <v>493</v>
      </c>
    </row>
    <row r="110" spans="1:24" x14ac:dyDescent="0.55000000000000004">
      <c r="A110" t="s">
        <v>235</v>
      </c>
      <c r="B110" s="24">
        <v>45407</v>
      </c>
      <c r="C110" t="s">
        <v>212</v>
      </c>
      <c r="D110" t="s">
        <v>46</v>
      </c>
      <c r="E110" t="s">
        <v>484</v>
      </c>
      <c r="F110" t="s">
        <v>485</v>
      </c>
      <c r="G110" t="s">
        <v>36</v>
      </c>
      <c r="H110" t="s">
        <v>37</v>
      </c>
      <c r="I110" t="s">
        <v>38</v>
      </c>
      <c r="J110" t="s">
        <v>39</v>
      </c>
      <c r="K110" t="s">
        <v>40</v>
      </c>
      <c r="L110" t="s">
        <v>100</v>
      </c>
      <c r="M110" t="s">
        <v>185</v>
      </c>
      <c r="N110">
        <v>2</v>
      </c>
      <c r="O110">
        <v>6.57</v>
      </c>
      <c r="P110">
        <v>13.14</v>
      </c>
      <c r="Q110">
        <v>0</v>
      </c>
      <c r="R110">
        <v>13.14</v>
      </c>
      <c r="S110">
        <v>6.62</v>
      </c>
      <c r="T110">
        <v>6.52</v>
      </c>
      <c r="U110" t="s">
        <v>102</v>
      </c>
      <c r="V110" t="s">
        <v>87</v>
      </c>
      <c r="W110">
        <v>4</v>
      </c>
      <c r="X110" s="25" t="s">
        <v>490</v>
      </c>
    </row>
    <row r="111" spans="1:24" x14ac:dyDescent="0.55000000000000004">
      <c r="A111" t="s">
        <v>236</v>
      </c>
      <c r="B111" s="24">
        <v>45410</v>
      </c>
      <c r="C111" t="s">
        <v>212</v>
      </c>
      <c r="D111" t="s">
        <v>99</v>
      </c>
      <c r="E111" t="s">
        <v>486</v>
      </c>
      <c r="F111" t="s">
        <v>487</v>
      </c>
      <c r="G111" t="s">
        <v>114</v>
      </c>
      <c r="H111" t="s">
        <v>115</v>
      </c>
      <c r="I111" t="s">
        <v>116</v>
      </c>
      <c r="J111" t="s">
        <v>39</v>
      </c>
      <c r="K111" t="s">
        <v>51</v>
      </c>
      <c r="L111" t="s">
        <v>52</v>
      </c>
      <c r="M111" t="s">
        <v>180</v>
      </c>
      <c r="N111">
        <v>1</v>
      </c>
      <c r="O111">
        <v>3.83</v>
      </c>
      <c r="P111">
        <v>3.83</v>
      </c>
      <c r="Q111">
        <v>0</v>
      </c>
      <c r="R111">
        <v>3.83</v>
      </c>
      <c r="S111">
        <v>1.91</v>
      </c>
      <c r="T111">
        <v>1.92</v>
      </c>
      <c r="U111" t="s">
        <v>93</v>
      </c>
      <c r="V111" t="s">
        <v>63</v>
      </c>
      <c r="W111">
        <v>4</v>
      </c>
      <c r="X111" s="25" t="s">
        <v>490</v>
      </c>
    </row>
    <row r="112" spans="1:24" x14ac:dyDescent="0.55000000000000004">
      <c r="A112" t="s">
        <v>237</v>
      </c>
      <c r="B112" s="24">
        <v>45411</v>
      </c>
      <c r="C112" t="s">
        <v>212</v>
      </c>
      <c r="D112" t="s">
        <v>75</v>
      </c>
      <c r="E112" t="s">
        <v>484</v>
      </c>
      <c r="F112" t="s">
        <v>485</v>
      </c>
      <c r="G112" t="s">
        <v>163</v>
      </c>
      <c r="H112" t="s">
        <v>164</v>
      </c>
      <c r="I112" t="s">
        <v>165</v>
      </c>
      <c r="J112" t="s">
        <v>39</v>
      </c>
      <c r="K112" t="s">
        <v>85</v>
      </c>
      <c r="L112" t="s">
        <v>41</v>
      </c>
      <c r="M112" t="s">
        <v>125</v>
      </c>
      <c r="N112">
        <v>1</v>
      </c>
      <c r="O112">
        <v>2.85</v>
      </c>
      <c r="P112">
        <v>2.85</v>
      </c>
      <c r="Q112">
        <v>0</v>
      </c>
      <c r="R112">
        <v>2.85</v>
      </c>
      <c r="S112">
        <v>1.07</v>
      </c>
      <c r="T112">
        <v>1.78</v>
      </c>
      <c r="U112" t="s">
        <v>123</v>
      </c>
      <c r="V112" t="s">
        <v>44</v>
      </c>
      <c r="W112">
        <v>5</v>
      </c>
      <c r="X112" s="25" t="s">
        <v>490</v>
      </c>
    </row>
    <row r="113" spans="1:24" x14ac:dyDescent="0.55000000000000004">
      <c r="A113" t="s">
        <v>238</v>
      </c>
      <c r="B113" s="24">
        <v>45411</v>
      </c>
      <c r="C113" t="s">
        <v>212</v>
      </c>
      <c r="D113" t="s">
        <v>75</v>
      </c>
      <c r="E113" t="s">
        <v>486</v>
      </c>
      <c r="F113" t="s">
        <v>487</v>
      </c>
      <c r="G113" t="s">
        <v>131</v>
      </c>
      <c r="H113" t="s">
        <v>132</v>
      </c>
      <c r="I113" t="s">
        <v>133</v>
      </c>
      <c r="J113" t="s">
        <v>39</v>
      </c>
      <c r="K113" t="s">
        <v>134</v>
      </c>
      <c r="L113" t="s">
        <v>41</v>
      </c>
      <c r="M113" t="s">
        <v>239</v>
      </c>
      <c r="N113">
        <v>2</v>
      </c>
      <c r="O113">
        <v>1.93</v>
      </c>
      <c r="P113">
        <v>3.86</v>
      </c>
      <c r="Q113">
        <v>0.57999999999999996</v>
      </c>
      <c r="R113">
        <v>3.28</v>
      </c>
      <c r="S113">
        <v>1.28</v>
      </c>
      <c r="T113">
        <v>2</v>
      </c>
      <c r="U113" t="s">
        <v>93</v>
      </c>
      <c r="V113" t="s">
        <v>55</v>
      </c>
      <c r="W113">
        <v>3</v>
      </c>
      <c r="X113" s="25" t="s">
        <v>493</v>
      </c>
    </row>
    <row r="114" spans="1:24" x14ac:dyDescent="0.55000000000000004">
      <c r="A114" t="s">
        <v>240</v>
      </c>
      <c r="B114" s="24">
        <v>45411</v>
      </c>
      <c r="C114" t="s">
        <v>212</v>
      </c>
      <c r="D114" t="s">
        <v>75</v>
      </c>
      <c r="E114" t="s">
        <v>482</v>
      </c>
      <c r="F114" t="s">
        <v>483</v>
      </c>
      <c r="G114" t="s">
        <v>58</v>
      </c>
      <c r="H114" t="s">
        <v>59</v>
      </c>
      <c r="I114" t="s">
        <v>60</v>
      </c>
      <c r="J114" t="s">
        <v>39</v>
      </c>
      <c r="K114" t="s">
        <v>40</v>
      </c>
      <c r="L114" t="s">
        <v>52</v>
      </c>
      <c r="M114" t="s">
        <v>169</v>
      </c>
      <c r="N114">
        <v>2</v>
      </c>
      <c r="O114">
        <v>3.07</v>
      </c>
      <c r="P114">
        <v>6.14</v>
      </c>
      <c r="Q114">
        <v>0</v>
      </c>
      <c r="R114">
        <v>6.14</v>
      </c>
      <c r="S114">
        <v>2.82</v>
      </c>
      <c r="T114">
        <v>3.32</v>
      </c>
      <c r="U114" t="s">
        <v>54</v>
      </c>
      <c r="V114" t="s">
        <v>44</v>
      </c>
      <c r="W114">
        <v>5</v>
      </c>
      <c r="X114" s="25" t="s">
        <v>490</v>
      </c>
    </row>
    <row r="115" spans="1:24" x14ac:dyDescent="0.55000000000000004">
      <c r="A115" t="s">
        <v>241</v>
      </c>
      <c r="B115" s="24">
        <v>45411</v>
      </c>
      <c r="C115" t="s">
        <v>212</v>
      </c>
      <c r="D115" t="s">
        <v>75</v>
      </c>
      <c r="E115" t="s">
        <v>488</v>
      </c>
      <c r="F115" t="s">
        <v>489</v>
      </c>
      <c r="G115" t="s">
        <v>131</v>
      </c>
      <c r="H115" t="s">
        <v>132</v>
      </c>
      <c r="I115" t="s">
        <v>133</v>
      </c>
      <c r="J115" t="s">
        <v>39</v>
      </c>
      <c r="K115" t="s">
        <v>134</v>
      </c>
      <c r="L115" t="s">
        <v>66</v>
      </c>
      <c r="M115" t="s">
        <v>67</v>
      </c>
      <c r="N115">
        <v>2</v>
      </c>
      <c r="O115">
        <v>1.01</v>
      </c>
      <c r="P115">
        <v>2.02</v>
      </c>
      <c r="Q115">
        <v>0</v>
      </c>
      <c r="R115">
        <v>2.02</v>
      </c>
      <c r="S115">
        <v>0.83</v>
      </c>
      <c r="T115">
        <v>1.19</v>
      </c>
      <c r="U115" t="s">
        <v>93</v>
      </c>
      <c r="V115" t="s">
        <v>73</v>
      </c>
      <c r="W115">
        <v>3</v>
      </c>
      <c r="X115" s="25" t="s">
        <v>490</v>
      </c>
    </row>
    <row r="116" spans="1:24" x14ac:dyDescent="0.55000000000000004">
      <c r="A116" t="s">
        <v>242</v>
      </c>
      <c r="B116" s="24">
        <v>45411</v>
      </c>
      <c r="C116" t="s">
        <v>212</v>
      </c>
      <c r="D116" t="s">
        <v>75</v>
      </c>
      <c r="E116" t="s">
        <v>488</v>
      </c>
      <c r="F116" t="s">
        <v>489</v>
      </c>
      <c r="G116" t="s">
        <v>48</v>
      </c>
      <c r="H116" t="s">
        <v>49</v>
      </c>
      <c r="I116" t="s">
        <v>50</v>
      </c>
      <c r="J116" t="s">
        <v>39</v>
      </c>
      <c r="K116" t="s">
        <v>51</v>
      </c>
      <c r="L116" t="s">
        <v>100</v>
      </c>
      <c r="M116" t="s">
        <v>243</v>
      </c>
      <c r="N116">
        <v>4</v>
      </c>
      <c r="O116">
        <v>5.71</v>
      </c>
      <c r="P116">
        <v>22.84</v>
      </c>
      <c r="Q116">
        <v>3.43</v>
      </c>
      <c r="R116">
        <v>19.41</v>
      </c>
      <c r="S116">
        <v>7.65</v>
      </c>
      <c r="T116">
        <v>11.76</v>
      </c>
      <c r="U116" t="s">
        <v>102</v>
      </c>
      <c r="V116" t="s">
        <v>73</v>
      </c>
      <c r="W116">
        <v>5</v>
      </c>
      <c r="X116" s="25" t="s">
        <v>493</v>
      </c>
    </row>
    <row r="117" spans="1:24" x14ac:dyDescent="0.55000000000000004">
      <c r="A117" t="s">
        <v>244</v>
      </c>
      <c r="B117" s="24">
        <v>45413</v>
      </c>
      <c r="C117" t="s">
        <v>212</v>
      </c>
      <c r="D117" t="s">
        <v>34</v>
      </c>
      <c r="E117" t="s">
        <v>488</v>
      </c>
      <c r="F117" t="s">
        <v>489</v>
      </c>
      <c r="G117" t="s">
        <v>58</v>
      </c>
      <c r="H117" t="s">
        <v>59</v>
      </c>
      <c r="I117" t="s">
        <v>60</v>
      </c>
      <c r="J117" t="s">
        <v>39</v>
      </c>
      <c r="K117" t="s">
        <v>40</v>
      </c>
      <c r="L117" t="s">
        <v>52</v>
      </c>
      <c r="M117" t="s">
        <v>53</v>
      </c>
      <c r="N117">
        <v>1</v>
      </c>
      <c r="O117">
        <v>2.44</v>
      </c>
      <c r="P117">
        <v>2.44</v>
      </c>
      <c r="Q117">
        <v>0.37</v>
      </c>
      <c r="R117">
        <v>2.0699999999999998</v>
      </c>
      <c r="S117">
        <v>0.96</v>
      </c>
      <c r="T117">
        <v>1.1100000000000001</v>
      </c>
      <c r="U117" t="s">
        <v>72</v>
      </c>
      <c r="V117" t="s">
        <v>44</v>
      </c>
      <c r="W117">
        <v>5</v>
      </c>
      <c r="X117" s="25" t="s">
        <v>493</v>
      </c>
    </row>
    <row r="118" spans="1:24" x14ac:dyDescent="0.55000000000000004">
      <c r="A118" t="s">
        <v>245</v>
      </c>
      <c r="B118" s="24">
        <v>45414</v>
      </c>
      <c r="C118" t="s">
        <v>212</v>
      </c>
      <c r="D118" t="s">
        <v>46</v>
      </c>
      <c r="E118" t="s">
        <v>488</v>
      </c>
      <c r="F118" t="s">
        <v>489</v>
      </c>
      <c r="G118" t="s">
        <v>58</v>
      </c>
      <c r="H118" t="s">
        <v>59</v>
      </c>
      <c r="I118" t="s">
        <v>60</v>
      </c>
      <c r="J118" t="s">
        <v>39</v>
      </c>
      <c r="K118" t="s">
        <v>40</v>
      </c>
      <c r="L118" t="s">
        <v>78</v>
      </c>
      <c r="M118" t="s">
        <v>79</v>
      </c>
      <c r="N118">
        <v>2</v>
      </c>
      <c r="O118">
        <v>3.45</v>
      </c>
      <c r="P118">
        <v>6.9</v>
      </c>
      <c r="Q118">
        <v>0</v>
      </c>
      <c r="R118">
        <v>6.9</v>
      </c>
      <c r="S118">
        <v>3.45</v>
      </c>
      <c r="T118">
        <v>3.45</v>
      </c>
      <c r="U118" t="s">
        <v>102</v>
      </c>
      <c r="V118" t="s">
        <v>144</v>
      </c>
      <c r="W118">
        <v>4</v>
      </c>
      <c r="X118" s="25" t="s">
        <v>490</v>
      </c>
    </row>
    <row r="119" spans="1:24" x14ac:dyDescent="0.55000000000000004">
      <c r="A119" t="s">
        <v>246</v>
      </c>
      <c r="B119" s="24">
        <v>45414</v>
      </c>
      <c r="C119" t="s">
        <v>212</v>
      </c>
      <c r="D119" t="s">
        <v>46</v>
      </c>
      <c r="E119" t="s">
        <v>486</v>
      </c>
      <c r="F119" t="s">
        <v>487</v>
      </c>
      <c r="G119" t="s">
        <v>104</v>
      </c>
      <c r="H119" t="s">
        <v>105</v>
      </c>
      <c r="I119" t="s">
        <v>106</v>
      </c>
      <c r="J119" t="s">
        <v>39</v>
      </c>
      <c r="K119" t="s">
        <v>85</v>
      </c>
      <c r="L119" t="s">
        <v>41</v>
      </c>
      <c r="M119" t="s">
        <v>239</v>
      </c>
      <c r="N119">
        <v>4</v>
      </c>
      <c r="O119">
        <v>1.94</v>
      </c>
      <c r="P119">
        <v>7.76</v>
      </c>
      <c r="Q119">
        <v>0.39</v>
      </c>
      <c r="R119">
        <v>7.37</v>
      </c>
      <c r="S119">
        <v>2.66</v>
      </c>
      <c r="T119">
        <v>4.71</v>
      </c>
      <c r="U119" t="s">
        <v>54</v>
      </c>
      <c r="V119" t="s">
        <v>73</v>
      </c>
      <c r="W119">
        <v>5</v>
      </c>
      <c r="X119" s="25" t="s">
        <v>490</v>
      </c>
    </row>
    <row r="120" spans="1:24" x14ac:dyDescent="0.55000000000000004">
      <c r="A120" t="s">
        <v>247</v>
      </c>
      <c r="B120" s="24">
        <v>45414</v>
      </c>
      <c r="C120" t="s">
        <v>212</v>
      </c>
      <c r="D120" t="s">
        <v>46</v>
      </c>
      <c r="E120" t="s">
        <v>486</v>
      </c>
      <c r="F120" t="s">
        <v>487</v>
      </c>
      <c r="G120" t="s">
        <v>76</v>
      </c>
      <c r="H120" t="s">
        <v>77</v>
      </c>
      <c r="I120" t="s">
        <v>38</v>
      </c>
      <c r="J120" t="s">
        <v>39</v>
      </c>
      <c r="K120" t="s">
        <v>40</v>
      </c>
      <c r="L120" t="s">
        <v>78</v>
      </c>
      <c r="M120" t="s">
        <v>143</v>
      </c>
      <c r="N120">
        <v>2</v>
      </c>
      <c r="O120">
        <v>2.74</v>
      </c>
      <c r="P120">
        <v>5.48</v>
      </c>
      <c r="Q120">
        <v>0.27</v>
      </c>
      <c r="R120">
        <v>5.21</v>
      </c>
      <c r="S120">
        <v>2.62</v>
      </c>
      <c r="T120">
        <v>2.59</v>
      </c>
      <c r="U120" t="s">
        <v>93</v>
      </c>
      <c r="V120" t="s">
        <v>87</v>
      </c>
      <c r="W120">
        <v>5</v>
      </c>
      <c r="X120" s="25" t="s">
        <v>490</v>
      </c>
    </row>
    <row r="121" spans="1:24" x14ac:dyDescent="0.55000000000000004">
      <c r="A121" t="s">
        <v>248</v>
      </c>
      <c r="B121" s="24">
        <v>45417</v>
      </c>
      <c r="C121" t="s">
        <v>212</v>
      </c>
      <c r="D121" t="s">
        <v>99</v>
      </c>
      <c r="E121" t="s">
        <v>482</v>
      </c>
      <c r="F121" t="s">
        <v>483</v>
      </c>
      <c r="G121" t="s">
        <v>76</v>
      </c>
      <c r="H121" t="s">
        <v>77</v>
      </c>
      <c r="I121" t="s">
        <v>38</v>
      </c>
      <c r="J121" t="s">
        <v>39</v>
      </c>
      <c r="K121" t="s">
        <v>40</v>
      </c>
      <c r="L121" t="s">
        <v>78</v>
      </c>
      <c r="M121" t="s">
        <v>141</v>
      </c>
      <c r="N121">
        <v>1</v>
      </c>
      <c r="O121">
        <v>6.66</v>
      </c>
      <c r="P121">
        <v>6.66</v>
      </c>
      <c r="Q121">
        <v>0.33</v>
      </c>
      <c r="R121">
        <v>6.33</v>
      </c>
      <c r="S121">
        <v>2.4900000000000002</v>
      </c>
      <c r="T121">
        <v>3.84</v>
      </c>
      <c r="U121" t="s">
        <v>123</v>
      </c>
      <c r="V121" t="s">
        <v>144</v>
      </c>
      <c r="W121">
        <v>5</v>
      </c>
      <c r="X121" s="25" t="s">
        <v>490</v>
      </c>
    </row>
    <row r="122" spans="1:24" x14ac:dyDescent="0.55000000000000004">
      <c r="A122" t="s">
        <v>249</v>
      </c>
      <c r="B122" s="24">
        <v>45421</v>
      </c>
      <c r="C122" t="s">
        <v>212</v>
      </c>
      <c r="D122" t="s">
        <v>46</v>
      </c>
      <c r="E122" t="s">
        <v>482</v>
      </c>
      <c r="F122" t="s">
        <v>483</v>
      </c>
      <c r="G122" t="s">
        <v>163</v>
      </c>
      <c r="H122" t="s">
        <v>164</v>
      </c>
      <c r="I122" t="s">
        <v>165</v>
      </c>
      <c r="J122" t="s">
        <v>39</v>
      </c>
      <c r="K122" t="s">
        <v>85</v>
      </c>
      <c r="L122" t="s">
        <v>66</v>
      </c>
      <c r="M122" t="s">
        <v>183</v>
      </c>
      <c r="N122">
        <v>1</v>
      </c>
      <c r="O122">
        <v>1.53</v>
      </c>
      <c r="P122">
        <v>1.53</v>
      </c>
      <c r="Q122">
        <v>0</v>
      </c>
      <c r="R122">
        <v>1.53</v>
      </c>
      <c r="S122">
        <v>0.61</v>
      </c>
      <c r="T122">
        <v>0.92</v>
      </c>
      <c r="U122" t="s">
        <v>54</v>
      </c>
      <c r="V122" t="s">
        <v>44</v>
      </c>
      <c r="W122">
        <v>5</v>
      </c>
      <c r="X122" s="25" t="s">
        <v>490</v>
      </c>
    </row>
    <row r="123" spans="1:24" x14ac:dyDescent="0.55000000000000004">
      <c r="A123" t="s">
        <v>250</v>
      </c>
      <c r="B123" s="24">
        <v>45424</v>
      </c>
      <c r="C123" t="s">
        <v>212</v>
      </c>
      <c r="D123" t="s">
        <v>99</v>
      </c>
      <c r="E123" t="s">
        <v>482</v>
      </c>
      <c r="F123" t="s">
        <v>483</v>
      </c>
      <c r="G123" t="s">
        <v>36</v>
      </c>
      <c r="H123" t="s">
        <v>37</v>
      </c>
      <c r="I123" t="s">
        <v>38</v>
      </c>
      <c r="J123" t="s">
        <v>39</v>
      </c>
      <c r="K123" t="s">
        <v>40</v>
      </c>
      <c r="L123" t="s">
        <v>61</v>
      </c>
      <c r="M123" t="s">
        <v>121</v>
      </c>
      <c r="N123">
        <v>2</v>
      </c>
      <c r="O123">
        <v>9.43</v>
      </c>
      <c r="P123">
        <v>18.86</v>
      </c>
      <c r="Q123">
        <v>1.89</v>
      </c>
      <c r="R123">
        <v>16.97</v>
      </c>
      <c r="S123">
        <v>7.94</v>
      </c>
      <c r="T123">
        <v>9.0299999999999994</v>
      </c>
      <c r="U123" t="s">
        <v>43</v>
      </c>
      <c r="V123" t="s">
        <v>44</v>
      </c>
      <c r="W123">
        <v>5</v>
      </c>
      <c r="X123" s="25" t="s">
        <v>491</v>
      </c>
    </row>
    <row r="124" spans="1:24" x14ac:dyDescent="0.55000000000000004">
      <c r="A124" t="s">
        <v>251</v>
      </c>
      <c r="B124" s="24">
        <v>45425</v>
      </c>
      <c r="C124" t="s">
        <v>212</v>
      </c>
      <c r="D124" t="s">
        <v>75</v>
      </c>
      <c r="E124" t="s">
        <v>484</v>
      </c>
      <c r="F124" t="s">
        <v>485</v>
      </c>
      <c r="G124" t="s">
        <v>114</v>
      </c>
      <c r="H124" t="s">
        <v>115</v>
      </c>
      <c r="I124" t="s">
        <v>116</v>
      </c>
      <c r="J124" t="s">
        <v>39</v>
      </c>
      <c r="K124" t="s">
        <v>51</v>
      </c>
      <c r="L124" t="s">
        <v>66</v>
      </c>
      <c r="M124" t="s">
        <v>86</v>
      </c>
      <c r="N124">
        <v>2</v>
      </c>
      <c r="O124">
        <v>3.75</v>
      </c>
      <c r="P124">
        <v>7.5</v>
      </c>
      <c r="Q124">
        <v>1.1200000000000001</v>
      </c>
      <c r="R124">
        <v>6.38</v>
      </c>
      <c r="S124">
        <v>2.59</v>
      </c>
      <c r="T124">
        <v>3.79</v>
      </c>
      <c r="U124" t="s">
        <v>72</v>
      </c>
      <c r="V124" t="s">
        <v>55</v>
      </c>
      <c r="W124">
        <v>4</v>
      </c>
      <c r="X124" s="25" t="s">
        <v>493</v>
      </c>
    </row>
    <row r="125" spans="1:24" x14ac:dyDescent="0.55000000000000004">
      <c r="A125" t="s">
        <v>252</v>
      </c>
      <c r="B125" s="24">
        <v>45427</v>
      </c>
      <c r="C125" t="s">
        <v>212</v>
      </c>
      <c r="D125" t="s">
        <v>34</v>
      </c>
      <c r="E125" t="s">
        <v>488</v>
      </c>
      <c r="F125" t="s">
        <v>489</v>
      </c>
      <c r="G125" t="s">
        <v>163</v>
      </c>
      <c r="H125" t="s">
        <v>164</v>
      </c>
      <c r="I125" t="s">
        <v>165</v>
      </c>
      <c r="J125" t="s">
        <v>39</v>
      </c>
      <c r="K125" t="s">
        <v>85</v>
      </c>
      <c r="L125" t="s">
        <v>78</v>
      </c>
      <c r="M125" t="s">
        <v>138</v>
      </c>
      <c r="N125">
        <v>1</v>
      </c>
      <c r="O125">
        <v>4.37</v>
      </c>
      <c r="P125">
        <v>4.37</v>
      </c>
      <c r="Q125">
        <v>0.22</v>
      </c>
      <c r="R125">
        <v>4.1500000000000004</v>
      </c>
      <c r="S125">
        <v>1.75</v>
      </c>
      <c r="T125">
        <v>2.4</v>
      </c>
      <c r="U125" t="s">
        <v>123</v>
      </c>
      <c r="V125" t="s">
        <v>144</v>
      </c>
      <c r="W125">
        <v>4</v>
      </c>
      <c r="X125" s="25" t="s">
        <v>490</v>
      </c>
    </row>
    <row r="126" spans="1:24" x14ac:dyDescent="0.55000000000000004">
      <c r="A126" t="s">
        <v>253</v>
      </c>
      <c r="B126" s="24">
        <v>45429</v>
      </c>
      <c r="C126" t="s">
        <v>212</v>
      </c>
      <c r="D126" t="s">
        <v>57</v>
      </c>
      <c r="E126" t="s">
        <v>482</v>
      </c>
      <c r="F126" t="s">
        <v>483</v>
      </c>
      <c r="G126" t="s">
        <v>48</v>
      </c>
      <c r="H126" t="s">
        <v>49</v>
      </c>
      <c r="I126" t="s">
        <v>50</v>
      </c>
      <c r="J126" t="s">
        <v>39</v>
      </c>
      <c r="K126" t="s">
        <v>51</v>
      </c>
      <c r="L126" t="s">
        <v>41</v>
      </c>
      <c r="M126" t="s">
        <v>239</v>
      </c>
      <c r="N126">
        <v>1</v>
      </c>
      <c r="O126">
        <v>1.96</v>
      </c>
      <c r="P126">
        <v>1.96</v>
      </c>
      <c r="Q126">
        <v>0</v>
      </c>
      <c r="R126">
        <v>1.96</v>
      </c>
      <c r="S126">
        <v>0.99</v>
      </c>
      <c r="T126">
        <v>0.97</v>
      </c>
      <c r="U126" t="s">
        <v>123</v>
      </c>
      <c r="V126" t="s">
        <v>55</v>
      </c>
      <c r="W126">
        <v>5</v>
      </c>
      <c r="X126" s="25" t="s">
        <v>490</v>
      </c>
    </row>
    <row r="127" spans="1:24" x14ac:dyDescent="0.55000000000000004">
      <c r="A127" t="s">
        <v>254</v>
      </c>
      <c r="B127" s="24">
        <v>45429</v>
      </c>
      <c r="C127" t="s">
        <v>212</v>
      </c>
      <c r="D127" t="s">
        <v>57</v>
      </c>
      <c r="E127" t="s">
        <v>486</v>
      </c>
      <c r="F127" t="s">
        <v>487</v>
      </c>
      <c r="G127" t="s">
        <v>131</v>
      </c>
      <c r="H127" t="s">
        <v>132</v>
      </c>
      <c r="I127" t="s">
        <v>133</v>
      </c>
      <c r="J127" t="s">
        <v>39</v>
      </c>
      <c r="K127" t="s">
        <v>134</v>
      </c>
      <c r="L127" t="s">
        <v>100</v>
      </c>
      <c r="M127" t="s">
        <v>111</v>
      </c>
      <c r="N127">
        <v>3</v>
      </c>
      <c r="O127">
        <v>6.05</v>
      </c>
      <c r="P127">
        <v>18.149999999999999</v>
      </c>
      <c r="Q127">
        <v>0</v>
      </c>
      <c r="R127">
        <v>18.149999999999999</v>
      </c>
      <c r="S127">
        <v>7.6</v>
      </c>
      <c r="T127">
        <v>10.55</v>
      </c>
      <c r="U127" t="s">
        <v>43</v>
      </c>
      <c r="V127" t="s">
        <v>63</v>
      </c>
      <c r="W127">
        <v>3</v>
      </c>
      <c r="X127" s="25" t="s">
        <v>490</v>
      </c>
    </row>
    <row r="128" spans="1:24" x14ac:dyDescent="0.55000000000000004">
      <c r="A128" t="s">
        <v>255</v>
      </c>
      <c r="B128" s="24">
        <v>45429</v>
      </c>
      <c r="C128" t="s">
        <v>212</v>
      </c>
      <c r="D128" t="s">
        <v>57</v>
      </c>
      <c r="E128" t="s">
        <v>484</v>
      </c>
      <c r="F128" t="s">
        <v>485</v>
      </c>
      <c r="G128" t="s">
        <v>82</v>
      </c>
      <c r="H128" t="s">
        <v>83</v>
      </c>
      <c r="I128" t="s">
        <v>84</v>
      </c>
      <c r="J128" t="s">
        <v>39</v>
      </c>
      <c r="K128" t="s">
        <v>85</v>
      </c>
      <c r="L128" t="s">
        <v>100</v>
      </c>
      <c r="M128" t="s">
        <v>101</v>
      </c>
      <c r="N128">
        <v>3</v>
      </c>
      <c r="O128">
        <v>3.44</v>
      </c>
      <c r="P128">
        <v>10.32</v>
      </c>
      <c r="Q128">
        <v>0</v>
      </c>
      <c r="R128">
        <v>10.32</v>
      </c>
      <c r="S128">
        <v>5.08</v>
      </c>
      <c r="T128">
        <v>5.24</v>
      </c>
      <c r="U128" t="s">
        <v>43</v>
      </c>
      <c r="V128" t="s">
        <v>73</v>
      </c>
      <c r="W128">
        <v>4</v>
      </c>
      <c r="X128" s="25" t="s">
        <v>490</v>
      </c>
    </row>
    <row r="129" spans="1:24" x14ac:dyDescent="0.55000000000000004">
      <c r="A129" t="s">
        <v>256</v>
      </c>
      <c r="B129" s="24">
        <v>45430</v>
      </c>
      <c r="C129" t="s">
        <v>212</v>
      </c>
      <c r="D129" t="s">
        <v>69</v>
      </c>
      <c r="E129" t="s">
        <v>484</v>
      </c>
      <c r="F129" t="s">
        <v>485</v>
      </c>
      <c r="G129" t="s">
        <v>131</v>
      </c>
      <c r="H129" t="s">
        <v>132</v>
      </c>
      <c r="I129" t="s">
        <v>133</v>
      </c>
      <c r="J129" t="s">
        <v>39</v>
      </c>
      <c r="K129" t="s">
        <v>134</v>
      </c>
      <c r="L129" t="s">
        <v>61</v>
      </c>
      <c r="M129" t="s">
        <v>121</v>
      </c>
      <c r="N129">
        <v>2</v>
      </c>
      <c r="O129">
        <v>9.7200000000000006</v>
      </c>
      <c r="P129">
        <v>19.440000000000001</v>
      </c>
      <c r="Q129">
        <v>0.97</v>
      </c>
      <c r="R129">
        <v>18.47</v>
      </c>
      <c r="S129">
        <v>8.75</v>
      </c>
      <c r="T129">
        <v>9.7200000000000006</v>
      </c>
      <c r="U129" t="s">
        <v>123</v>
      </c>
      <c r="V129" t="s">
        <v>144</v>
      </c>
      <c r="W129">
        <v>4</v>
      </c>
      <c r="X129" s="25" t="s">
        <v>490</v>
      </c>
    </row>
    <row r="130" spans="1:24" x14ac:dyDescent="0.55000000000000004">
      <c r="A130" t="s">
        <v>257</v>
      </c>
      <c r="B130" s="24">
        <v>45431</v>
      </c>
      <c r="C130" t="s">
        <v>212</v>
      </c>
      <c r="D130" t="s">
        <v>99</v>
      </c>
      <c r="E130" t="s">
        <v>484</v>
      </c>
      <c r="F130" t="s">
        <v>485</v>
      </c>
      <c r="G130" t="s">
        <v>89</v>
      </c>
      <c r="H130" t="s">
        <v>90</v>
      </c>
      <c r="I130" t="s">
        <v>91</v>
      </c>
      <c r="J130" t="s">
        <v>39</v>
      </c>
      <c r="K130" t="s">
        <v>92</v>
      </c>
      <c r="L130" t="s">
        <v>61</v>
      </c>
      <c r="M130" t="s">
        <v>119</v>
      </c>
      <c r="N130">
        <v>2</v>
      </c>
      <c r="O130">
        <v>7.03</v>
      </c>
      <c r="P130">
        <v>14.06</v>
      </c>
      <c r="Q130">
        <v>2.11</v>
      </c>
      <c r="R130">
        <v>11.95</v>
      </c>
      <c r="S130">
        <v>5.94</v>
      </c>
      <c r="T130">
        <v>6.01</v>
      </c>
      <c r="U130" t="s">
        <v>43</v>
      </c>
      <c r="V130" t="s">
        <v>55</v>
      </c>
      <c r="W130">
        <v>3</v>
      </c>
      <c r="X130" s="25" t="s">
        <v>493</v>
      </c>
    </row>
    <row r="131" spans="1:24" x14ac:dyDescent="0.55000000000000004">
      <c r="A131" t="s">
        <v>258</v>
      </c>
      <c r="B131" s="24">
        <v>45434</v>
      </c>
      <c r="C131" t="s">
        <v>212</v>
      </c>
      <c r="D131" t="s">
        <v>34</v>
      </c>
      <c r="E131" t="s">
        <v>486</v>
      </c>
      <c r="F131" t="s">
        <v>487</v>
      </c>
      <c r="G131" t="s">
        <v>76</v>
      </c>
      <c r="H131" t="s">
        <v>77</v>
      </c>
      <c r="I131" t="s">
        <v>38</v>
      </c>
      <c r="J131" t="s">
        <v>39</v>
      </c>
      <c r="K131" t="s">
        <v>40</v>
      </c>
      <c r="L131" t="s">
        <v>61</v>
      </c>
      <c r="M131" t="s">
        <v>119</v>
      </c>
      <c r="N131">
        <v>2</v>
      </c>
      <c r="O131">
        <v>6.99</v>
      </c>
      <c r="P131">
        <v>13.98</v>
      </c>
      <c r="Q131">
        <v>0</v>
      </c>
      <c r="R131">
        <v>13.98</v>
      </c>
      <c r="S131">
        <v>5.87</v>
      </c>
      <c r="T131">
        <v>8.11</v>
      </c>
      <c r="U131" t="s">
        <v>123</v>
      </c>
      <c r="V131" t="s">
        <v>55</v>
      </c>
      <c r="W131">
        <v>3</v>
      </c>
      <c r="X131" s="25" t="s">
        <v>490</v>
      </c>
    </row>
    <row r="132" spans="1:24" x14ac:dyDescent="0.55000000000000004">
      <c r="A132" t="s">
        <v>259</v>
      </c>
      <c r="B132" s="24">
        <v>45434</v>
      </c>
      <c r="C132" t="s">
        <v>212</v>
      </c>
      <c r="D132" t="s">
        <v>34</v>
      </c>
      <c r="E132" t="s">
        <v>488</v>
      </c>
      <c r="F132" t="s">
        <v>489</v>
      </c>
      <c r="G132" t="s">
        <v>104</v>
      </c>
      <c r="H132" t="s">
        <v>105</v>
      </c>
      <c r="I132" t="s">
        <v>106</v>
      </c>
      <c r="J132" t="s">
        <v>39</v>
      </c>
      <c r="K132" t="s">
        <v>85</v>
      </c>
      <c r="L132" t="s">
        <v>41</v>
      </c>
      <c r="M132" t="s">
        <v>154</v>
      </c>
      <c r="N132">
        <v>2</v>
      </c>
      <c r="O132">
        <v>1.47</v>
      </c>
      <c r="P132">
        <v>2.94</v>
      </c>
      <c r="Q132">
        <v>0</v>
      </c>
      <c r="R132">
        <v>2.94</v>
      </c>
      <c r="S132">
        <v>1.48</v>
      </c>
      <c r="T132">
        <v>1.46</v>
      </c>
      <c r="U132" t="s">
        <v>102</v>
      </c>
      <c r="V132" t="s">
        <v>144</v>
      </c>
      <c r="W132">
        <v>3</v>
      </c>
      <c r="X132" s="25" t="s">
        <v>490</v>
      </c>
    </row>
    <row r="133" spans="1:24" x14ac:dyDescent="0.55000000000000004">
      <c r="A133" t="s">
        <v>260</v>
      </c>
      <c r="B133" s="24">
        <v>45434</v>
      </c>
      <c r="C133" t="s">
        <v>212</v>
      </c>
      <c r="D133" t="s">
        <v>34</v>
      </c>
      <c r="E133" t="s">
        <v>484</v>
      </c>
      <c r="F133" t="s">
        <v>485</v>
      </c>
      <c r="G133" t="s">
        <v>131</v>
      </c>
      <c r="H133" t="s">
        <v>132</v>
      </c>
      <c r="I133" t="s">
        <v>133</v>
      </c>
      <c r="J133" t="s">
        <v>39</v>
      </c>
      <c r="K133" t="s">
        <v>134</v>
      </c>
      <c r="L133" t="s">
        <v>41</v>
      </c>
      <c r="M133" t="s">
        <v>220</v>
      </c>
      <c r="N133">
        <v>3</v>
      </c>
      <c r="O133">
        <v>4.0999999999999996</v>
      </c>
      <c r="P133">
        <v>12.3</v>
      </c>
      <c r="Q133">
        <v>1.23</v>
      </c>
      <c r="R133">
        <v>11.07</v>
      </c>
      <c r="S133">
        <v>5.23</v>
      </c>
      <c r="T133">
        <v>5.84</v>
      </c>
      <c r="U133" t="s">
        <v>54</v>
      </c>
      <c r="V133" t="s">
        <v>87</v>
      </c>
      <c r="W133">
        <v>4</v>
      </c>
      <c r="X133" s="25" t="s">
        <v>491</v>
      </c>
    </row>
    <row r="134" spans="1:24" x14ac:dyDescent="0.55000000000000004">
      <c r="A134" t="s">
        <v>261</v>
      </c>
      <c r="B134" s="24">
        <v>45435</v>
      </c>
      <c r="C134" t="s">
        <v>212</v>
      </c>
      <c r="D134" t="s">
        <v>46</v>
      </c>
      <c r="E134" t="s">
        <v>488</v>
      </c>
      <c r="F134" t="s">
        <v>489</v>
      </c>
      <c r="G134" t="s">
        <v>104</v>
      </c>
      <c r="H134" t="s">
        <v>105</v>
      </c>
      <c r="I134" t="s">
        <v>106</v>
      </c>
      <c r="J134" t="s">
        <v>39</v>
      </c>
      <c r="K134" t="s">
        <v>85</v>
      </c>
      <c r="L134" t="s">
        <v>52</v>
      </c>
      <c r="M134" t="s">
        <v>71</v>
      </c>
      <c r="N134">
        <v>1</v>
      </c>
      <c r="O134">
        <v>3.98</v>
      </c>
      <c r="P134">
        <v>3.98</v>
      </c>
      <c r="Q134">
        <v>0</v>
      </c>
      <c r="R134">
        <v>3.98</v>
      </c>
      <c r="S134">
        <v>1.68</v>
      </c>
      <c r="T134">
        <v>2.2999999999999998</v>
      </c>
      <c r="U134" t="s">
        <v>54</v>
      </c>
      <c r="V134" t="s">
        <v>55</v>
      </c>
      <c r="W134">
        <v>5</v>
      </c>
      <c r="X134" s="25" t="s">
        <v>490</v>
      </c>
    </row>
    <row r="135" spans="1:24" x14ac:dyDescent="0.55000000000000004">
      <c r="A135" t="s">
        <v>262</v>
      </c>
      <c r="B135" s="24">
        <v>45435</v>
      </c>
      <c r="C135" t="s">
        <v>212</v>
      </c>
      <c r="D135" t="s">
        <v>46</v>
      </c>
      <c r="E135" t="s">
        <v>484</v>
      </c>
      <c r="F135" t="s">
        <v>485</v>
      </c>
      <c r="G135" t="s">
        <v>131</v>
      </c>
      <c r="H135" t="s">
        <v>132</v>
      </c>
      <c r="I135" t="s">
        <v>133</v>
      </c>
      <c r="J135" t="s">
        <v>39</v>
      </c>
      <c r="K135" t="s">
        <v>134</v>
      </c>
      <c r="L135" t="s">
        <v>61</v>
      </c>
      <c r="M135" t="s">
        <v>121</v>
      </c>
      <c r="N135">
        <v>1</v>
      </c>
      <c r="O135">
        <v>9.61</v>
      </c>
      <c r="P135">
        <v>9.61</v>
      </c>
      <c r="Q135">
        <v>0</v>
      </c>
      <c r="R135">
        <v>9.61</v>
      </c>
      <c r="S135">
        <v>3.88</v>
      </c>
      <c r="T135">
        <v>5.73</v>
      </c>
      <c r="U135" t="s">
        <v>43</v>
      </c>
      <c r="V135" t="s">
        <v>73</v>
      </c>
      <c r="W135">
        <v>3</v>
      </c>
      <c r="X135" s="25" t="s">
        <v>490</v>
      </c>
    </row>
    <row r="136" spans="1:24" x14ac:dyDescent="0.55000000000000004">
      <c r="A136" t="s">
        <v>263</v>
      </c>
      <c r="B136" s="24">
        <v>45438</v>
      </c>
      <c r="C136" t="s">
        <v>212</v>
      </c>
      <c r="D136" t="s">
        <v>99</v>
      </c>
      <c r="E136" t="s">
        <v>484</v>
      </c>
      <c r="F136" t="s">
        <v>485</v>
      </c>
      <c r="G136" t="s">
        <v>36</v>
      </c>
      <c r="H136" t="s">
        <v>37</v>
      </c>
      <c r="I136" t="s">
        <v>38</v>
      </c>
      <c r="J136" t="s">
        <v>39</v>
      </c>
      <c r="K136" t="s">
        <v>40</v>
      </c>
      <c r="L136" t="s">
        <v>61</v>
      </c>
      <c r="M136" t="s">
        <v>161</v>
      </c>
      <c r="N136">
        <v>1</v>
      </c>
      <c r="O136">
        <v>10.79</v>
      </c>
      <c r="P136">
        <v>10.79</v>
      </c>
      <c r="Q136">
        <v>0</v>
      </c>
      <c r="R136">
        <v>10.79</v>
      </c>
      <c r="S136">
        <v>5.41</v>
      </c>
      <c r="T136">
        <v>5.38</v>
      </c>
      <c r="U136" t="s">
        <v>54</v>
      </c>
      <c r="V136" t="s">
        <v>73</v>
      </c>
      <c r="W136">
        <v>4</v>
      </c>
      <c r="X136" s="25" t="s">
        <v>490</v>
      </c>
    </row>
    <row r="137" spans="1:24" x14ac:dyDescent="0.55000000000000004">
      <c r="A137" t="s">
        <v>264</v>
      </c>
      <c r="B137" s="24">
        <v>45438</v>
      </c>
      <c r="C137" t="s">
        <v>212</v>
      </c>
      <c r="D137" t="s">
        <v>99</v>
      </c>
      <c r="E137" t="s">
        <v>482</v>
      </c>
      <c r="F137" t="s">
        <v>483</v>
      </c>
      <c r="G137" t="s">
        <v>48</v>
      </c>
      <c r="H137" t="s">
        <v>49</v>
      </c>
      <c r="I137" t="s">
        <v>50</v>
      </c>
      <c r="J137" t="s">
        <v>39</v>
      </c>
      <c r="K137" t="s">
        <v>51</v>
      </c>
      <c r="L137" t="s">
        <v>52</v>
      </c>
      <c r="M137" t="s">
        <v>180</v>
      </c>
      <c r="N137">
        <v>3</v>
      </c>
      <c r="O137">
        <v>3.78</v>
      </c>
      <c r="P137">
        <v>11.34</v>
      </c>
      <c r="Q137">
        <v>0.56999999999999995</v>
      </c>
      <c r="R137">
        <v>10.77</v>
      </c>
      <c r="S137">
        <v>5.72</v>
      </c>
      <c r="T137">
        <v>5.05</v>
      </c>
      <c r="U137" t="s">
        <v>102</v>
      </c>
      <c r="V137" t="s">
        <v>55</v>
      </c>
      <c r="W137">
        <v>5</v>
      </c>
      <c r="X137" s="25" t="s">
        <v>490</v>
      </c>
    </row>
    <row r="138" spans="1:24" x14ac:dyDescent="0.55000000000000004">
      <c r="A138" t="s">
        <v>265</v>
      </c>
      <c r="B138" s="24">
        <v>45439</v>
      </c>
      <c r="C138" t="s">
        <v>212</v>
      </c>
      <c r="D138" t="s">
        <v>75</v>
      </c>
      <c r="E138" t="s">
        <v>486</v>
      </c>
      <c r="F138" t="s">
        <v>487</v>
      </c>
      <c r="G138" t="s">
        <v>36</v>
      </c>
      <c r="H138" t="s">
        <v>37</v>
      </c>
      <c r="I138" t="s">
        <v>38</v>
      </c>
      <c r="J138" t="s">
        <v>39</v>
      </c>
      <c r="K138" t="s">
        <v>40</v>
      </c>
      <c r="L138" t="s">
        <v>52</v>
      </c>
      <c r="M138" t="s">
        <v>135</v>
      </c>
      <c r="N138">
        <v>2</v>
      </c>
      <c r="O138">
        <v>1.94</v>
      </c>
      <c r="P138">
        <v>3.88</v>
      </c>
      <c r="Q138">
        <v>0.19</v>
      </c>
      <c r="R138">
        <v>3.69</v>
      </c>
      <c r="S138">
        <v>1.94</v>
      </c>
      <c r="T138">
        <v>1.75</v>
      </c>
      <c r="U138" t="s">
        <v>72</v>
      </c>
      <c r="V138" t="s">
        <v>44</v>
      </c>
      <c r="W138">
        <v>4</v>
      </c>
      <c r="X138" s="25" t="s">
        <v>490</v>
      </c>
    </row>
    <row r="139" spans="1:24" x14ac:dyDescent="0.55000000000000004">
      <c r="A139" t="s">
        <v>266</v>
      </c>
      <c r="B139" s="24">
        <v>45440</v>
      </c>
      <c r="C139" t="s">
        <v>212</v>
      </c>
      <c r="D139" t="s">
        <v>81</v>
      </c>
      <c r="E139" t="s">
        <v>482</v>
      </c>
      <c r="F139" t="s">
        <v>483</v>
      </c>
      <c r="G139" t="s">
        <v>114</v>
      </c>
      <c r="H139" t="s">
        <v>115</v>
      </c>
      <c r="I139" t="s">
        <v>116</v>
      </c>
      <c r="J139" t="s">
        <v>39</v>
      </c>
      <c r="K139" t="s">
        <v>51</v>
      </c>
      <c r="L139" t="s">
        <v>61</v>
      </c>
      <c r="M139" t="s">
        <v>119</v>
      </c>
      <c r="N139">
        <v>1</v>
      </c>
      <c r="O139">
        <v>7.14</v>
      </c>
      <c r="P139">
        <v>7.14</v>
      </c>
      <c r="Q139">
        <v>0</v>
      </c>
      <c r="R139">
        <v>7.14</v>
      </c>
      <c r="S139">
        <v>2.97</v>
      </c>
      <c r="T139">
        <v>4.17</v>
      </c>
      <c r="U139" t="s">
        <v>43</v>
      </c>
      <c r="V139" t="s">
        <v>73</v>
      </c>
      <c r="W139">
        <v>3</v>
      </c>
      <c r="X139" s="25" t="s">
        <v>490</v>
      </c>
    </row>
    <row r="140" spans="1:24" x14ac:dyDescent="0.55000000000000004">
      <c r="A140" t="s">
        <v>267</v>
      </c>
      <c r="B140" s="24">
        <v>45443</v>
      </c>
      <c r="C140" t="s">
        <v>212</v>
      </c>
      <c r="D140" t="s">
        <v>57</v>
      </c>
      <c r="E140" t="s">
        <v>482</v>
      </c>
      <c r="F140" t="s">
        <v>483</v>
      </c>
      <c r="G140" t="s">
        <v>36</v>
      </c>
      <c r="H140" t="s">
        <v>37</v>
      </c>
      <c r="I140" t="s">
        <v>38</v>
      </c>
      <c r="J140" t="s">
        <v>39</v>
      </c>
      <c r="K140" t="s">
        <v>40</v>
      </c>
      <c r="L140" t="s">
        <v>66</v>
      </c>
      <c r="M140" t="s">
        <v>86</v>
      </c>
      <c r="N140">
        <v>1</v>
      </c>
      <c r="O140">
        <v>3.84</v>
      </c>
      <c r="P140">
        <v>3.84</v>
      </c>
      <c r="Q140">
        <v>0</v>
      </c>
      <c r="R140">
        <v>3.84</v>
      </c>
      <c r="S140">
        <v>1.38</v>
      </c>
      <c r="T140">
        <v>2.46</v>
      </c>
      <c r="U140" t="s">
        <v>102</v>
      </c>
      <c r="V140" t="s">
        <v>87</v>
      </c>
      <c r="W140">
        <v>5</v>
      </c>
      <c r="X140" s="25" t="s">
        <v>490</v>
      </c>
    </row>
    <row r="141" spans="1:24" x14ac:dyDescent="0.55000000000000004">
      <c r="A141" t="s">
        <v>268</v>
      </c>
      <c r="B141" s="24">
        <v>45444</v>
      </c>
      <c r="C141" t="s">
        <v>212</v>
      </c>
      <c r="D141" t="s">
        <v>69</v>
      </c>
      <c r="E141" t="s">
        <v>488</v>
      </c>
      <c r="F141" t="s">
        <v>489</v>
      </c>
      <c r="G141" t="s">
        <v>131</v>
      </c>
      <c r="H141" t="s">
        <v>132</v>
      </c>
      <c r="I141" t="s">
        <v>133</v>
      </c>
      <c r="J141" t="s">
        <v>39</v>
      </c>
      <c r="K141" t="s">
        <v>134</v>
      </c>
      <c r="L141" t="s">
        <v>61</v>
      </c>
      <c r="M141" t="s">
        <v>119</v>
      </c>
      <c r="N141">
        <v>4</v>
      </c>
      <c r="O141">
        <v>6.97</v>
      </c>
      <c r="P141">
        <v>27.88</v>
      </c>
      <c r="Q141">
        <v>0</v>
      </c>
      <c r="R141">
        <v>27.88</v>
      </c>
      <c r="S141">
        <v>11.61</v>
      </c>
      <c r="T141">
        <v>16.27</v>
      </c>
      <c r="U141" t="s">
        <v>43</v>
      </c>
      <c r="V141" t="s">
        <v>63</v>
      </c>
      <c r="W141">
        <v>5</v>
      </c>
      <c r="X141" s="25" t="s">
        <v>490</v>
      </c>
    </row>
    <row r="142" spans="1:24" x14ac:dyDescent="0.55000000000000004">
      <c r="A142" t="s">
        <v>269</v>
      </c>
      <c r="B142" s="24">
        <v>45445</v>
      </c>
      <c r="C142" t="s">
        <v>212</v>
      </c>
      <c r="D142" t="s">
        <v>99</v>
      </c>
      <c r="E142" t="s">
        <v>488</v>
      </c>
      <c r="F142" t="s">
        <v>489</v>
      </c>
      <c r="G142" t="s">
        <v>58</v>
      </c>
      <c r="H142" t="s">
        <v>59</v>
      </c>
      <c r="I142" t="s">
        <v>60</v>
      </c>
      <c r="J142" t="s">
        <v>39</v>
      </c>
      <c r="K142" t="s">
        <v>40</v>
      </c>
      <c r="L142" t="s">
        <v>100</v>
      </c>
      <c r="M142" t="s">
        <v>243</v>
      </c>
      <c r="N142">
        <v>4</v>
      </c>
      <c r="O142">
        <v>5.82</v>
      </c>
      <c r="P142">
        <v>23.28</v>
      </c>
      <c r="Q142">
        <v>3.49</v>
      </c>
      <c r="R142">
        <v>19.79</v>
      </c>
      <c r="S142">
        <v>9.4</v>
      </c>
      <c r="T142">
        <v>10.39</v>
      </c>
      <c r="U142" t="s">
        <v>72</v>
      </c>
      <c r="V142" t="s">
        <v>87</v>
      </c>
      <c r="W142">
        <v>2</v>
      </c>
      <c r="X142" s="25" t="s">
        <v>493</v>
      </c>
    </row>
    <row r="143" spans="1:24" x14ac:dyDescent="0.55000000000000004">
      <c r="A143" t="s">
        <v>270</v>
      </c>
      <c r="B143" s="24">
        <v>45445</v>
      </c>
      <c r="C143" t="s">
        <v>212</v>
      </c>
      <c r="D143" t="s">
        <v>99</v>
      </c>
      <c r="E143" t="s">
        <v>482</v>
      </c>
      <c r="F143" t="s">
        <v>483</v>
      </c>
      <c r="G143" t="s">
        <v>76</v>
      </c>
      <c r="H143" t="s">
        <v>77</v>
      </c>
      <c r="I143" t="s">
        <v>38</v>
      </c>
      <c r="J143" t="s">
        <v>39</v>
      </c>
      <c r="K143" t="s">
        <v>40</v>
      </c>
      <c r="L143" t="s">
        <v>78</v>
      </c>
      <c r="M143" t="s">
        <v>143</v>
      </c>
      <c r="N143">
        <v>2</v>
      </c>
      <c r="O143">
        <v>2.87</v>
      </c>
      <c r="P143">
        <v>5.74</v>
      </c>
      <c r="Q143">
        <v>0.28999999999999998</v>
      </c>
      <c r="R143">
        <v>5.45</v>
      </c>
      <c r="S143">
        <v>2.0499999999999998</v>
      </c>
      <c r="T143">
        <v>3.4</v>
      </c>
      <c r="U143" t="s">
        <v>93</v>
      </c>
      <c r="V143" t="s">
        <v>55</v>
      </c>
      <c r="W143">
        <v>4</v>
      </c>
      <c r="X143" s="25" t="s">
        <v>490</v>
      </c>
    </row>
    <row r="144" spans="1:24" x14ac:dyDescent="0.55000000000000004">
      <c r="A144" t="s">
        <v>271</v>
      </c>
      <c r="B144" s="24">
        <v>45445</v>
      </c>
      <c r="C144" t="s">
        <v>212</v>
      </c>
      <c r="D144" t="s">
        <v>99</v>
      </c>
      <c r="E144" t="s">
        <v>484</v>
      </c>
      <c r="F144" t="s">
        <v>485</v>
      </c>
      <c r="G144" t="s">
        <v>76</v>
      </c>
      <c r="H144" t="s">
        <v>77</v>
      </c>
      <c r="I144" t="s">
        <v>38</v>
      </c>
      <c r="J144" t="s">
        <v>39</v>
      </c>
      <c r="K144" t="s">
        <v>40</v>
      </c>
      <c r="L144" t="s">
        <v>61</v>
      </c>
      <c r="M144" t="s">
        <v>121</v>
      </c>
      <c r="N144">
        <v>2</v>
      </c>
      <c r="O144">
        <v>9.69</v>
      </c>
      <c r="P144">
        <v>19.38</v>
      </c>
      <c r="Q144">
        <v>0.97</v>
      </c>
      <c r="R144">
        <v>18.41</v>
      </c>
      <c r="S144">
        <v>8.43</v>
      </c>
      <c r="T144">
        <v>9.98</v>
      </c>
      <c r="U144" t="s">
        <v>72</v>
      </c>
      <c r="V144" t="s">
        <v>73</v>
      </c>
      <c r="W144">
        <v>5</v>
      </c>
      <c r="X144" s="25" t="s">
        <v>490</v>
      </c>
    </row>
    <row r="145" spans="1:24" x14ac:dyDescent="0.55000000000000004">
      <c r="A145" t="s">
        <v>272</v>
      </c>
      <c r="B145" s="24">
        <v>45446</v>
      </c>
      <c r="C145" t="s">
        <v>212</v>
      </c>
      <c r="D145" t="s">
        <v>75</v>
      </c>
      <c r="E145" t="s">
        <v>484</v>
      </c>
      <c r="F145" t="s">
        <v>485</v>
      </c>
      <c r="G145" t="s">
        <v>36</v>
      </c>
      <c r="H145" t="s">
        <v>37</v>
      </c>
      <c r="I145" t="s">
        <v>38</v>
      </c>
      <c r="J145" t="s">
        <v>39</v>
      </c>
      <c r="K145" t="s">
        <v>40</v>
      </c>
      <c r="L145" t="s">
        <v>78</v>
      </c>
      <c r="M145" t="s">
        <v>141</v>
      </c>
      <c r="N145">
        <v>1</v>
      </c>
      <c r="O145">
        <v>6.44</v>
      </c>
      <c r="P145">
        <v>6.44</v>
      </c>
      <c r="Q145">
        <v>0</v>
      </c>
      <c r="R145">
        <v>6.44</v>
      </c>
      <c r="S145">
        <v>2.64</v>
      </c>
      <c r="T145">
        <v>3.8</v>
      </c>
      <c r="U145" t="s">
        <v>54</v>
      </c>
      <c r="V145" t="s">
        <v>55</v>
      </c>
      <c r="W145">
        <v>5</v>
      </c>
      <c r="X145" s="25" t="s">
        <v>490</v>
      </c>
    </row>
    <row r="146" spans="1:24" x14ac:dyDescent="0.55000000000000004">
      <c r="A146" t="s">
        <v>273</v>
      </c>
      <c r="B146" s="24">
        <v>45446</v>
      </c>
      <c r="C146" t="s">
        <v>212</v>
      </c>
      <c r="D146" t="s">
        <v>75</v>
      </c>
      <c r="E146" t="s">
        <v>484</v>
      </c>
      <c r="F146" t="s">
        <v>485</v>
      </c>
      <c r="G146" t="s">
        <v>114</v>
      </c>
      <c r="H146" t="s">
        <v>115</v>
      </c>
      <c r="I146" t="s">
        <v>116</v>
      </c>
      <c r="J146" t="s">
        <v>39</v>
      </c>
      <c r="K146" t="s">
        <v>51</v>
      </c>
      <c r="L146" t="s">
        <v>100</v>
      </c>
      <c r="M146" t="s">
        <v>111</v>
      </c>
      <c r="N146">
        <v>1</v>
      </c>
      <c r="O146">
        <v>5.82</v>
      </c>
      <c r="P146">
        <v>5.82</v>
      </c>
      <c r="Q146">
        <v>1.1599999999999999</v>
      </c>
      <c r="R146">
        <v>4.66</v>
      </c>
      <c r="S146">
        <v>1.74</v>
      </c>
      <c r="T146">
        <v>2.92</v>
      </c>
      <c r="U146" t="s">
        <v>93</v>
      </c>
      <c r="V146" t="s">
        <v>87</v>
      </c>
      <c r="W146">
        <v>4</v>
      </c>
      <c r="X146" s="25" t="s">
        <v>492</v>
      </c>
    </row>
    <row r="147" spans="1:24" x14ac:dyDescent="0.55000000000000004">
      <c r="A147" t="s">
        <v>274</v>
      </c>
      <c r="B147" s="24">
        <v>45449</v>
      </c>
      <c r="C147" t="s">
        <v>212</v>
      </c>
      <c r="D147" t="s">
        <v>46</v>
      </c>
      <c r="E147" t="s">
        <v>482</v>
      </c>
      <c r="F147" t="s">
        <v>483</v>
      </c>
      <c r="G147" t="s">
        <v>104</v>
      </c>
      <c r="H147" t="s">
        <v>105</v>
      </c>
      <c r="I147" t="s">
        <v>106</v>
      </c>
      <c r="J147" t="s">
        <v>39</v>
      </c>
      <c r="K147" t="s">
        <v>85</v>
      </c>
      <c r="L147" t="s">
        <v>41</v>
      </c>
      <c r="M147" t="s">
        <v>220</v>
      </c>
      <c r="N147">
        <v>5</v>
      </c>
      <c r="O147">
        <v>3.88</v>
      </c>
      <c r="P147">
        <v>19.399999999999999</v>
      </c>
      <c r="Q147">
        <v>0</v>
      </c>
      <c r="R147">
        <v>19.399999999999999</v>
      </c>
      <c r="S147">
        <v>10.46</v>
      </c>
      <c r="T147">
        <v>8.94</v>
      </c>
      <c r="U147" t="s">
        <v>93</v>
      </c>
      <c r="V147" t="s">
        <v>55</v>
      </c>
      <c r="W147">
        <v>4</v>
      </c>
      <c r="X147" s="25" t="s">
        <v>490</v>
      </c>
    </row>
    <row r="148" spans="1:24" x14ac:dyDescent="0.55000000000000004">
      <c r="A148" t="s">
        <v>275</v>
      </c>
      <c r="B148" s="24">
        <v>45453</v>
      </c>
      <c r="C148" t="s">
        <v>212</v>
      </c>
      <c r="D148" t="s">
        <v>75</v>
      </c>
      <c r="E148" t="s">
        <v>488</v>
      </c>
      <c r="F148" t="s">
        <v>489</v>
      </c>
      <c r="G148" t="s">
        <v>114</v>
      </c>
      <c r="H148" t="s">
        <v>115</v>
      </c>
      <c r="I148" t="s">
        <v>116</v>
      </c>
      <c r="J148" t="s">
        <v>39</v>
      </c>
      <c r="K148" t="s">
        <v>51</v>
      </c>
      <c r="L148" t="s">
        <v>66</v>
      </c>
      <c r="M148" t="s">
        <v>107</v>
      </c>
      <c r="N148">
        <v>1</v>
      </c>
      <c r="O148">
        <v>3.89</v>
      </c>
      <c r="P148">
        <v>3.89</v>
      </c>
      <c r="Q148">
        <v>0.57999999999999996</v>
      </c>
      <c r="R148">
        <v>3.31</v>
      </c>
      <c r="S148">
        <v>1.37</v>
      </c>
      <c r="T148">
        <v>1.94</v>
      </c>
      <c r="U148" t="s">
        <v>54</v>
      </c>
      <c r="V148" t="s">
        <v>63</v>
      </c>
      <c r="W148">
        <v>5</v>
      </c>
      <c r="X148" s="25" t="s">
        <v>493</v>
      </c>
    </row>
    <row r="149" spans="1:24" x14ac:dyDescent="0.55000000000000004">
      <c r="A149" t="s">
        <v>276</v>
      </c>
      <c r="B149" s="24">
        <v>45455</v>
      </c>
      <c r="C149" t="s">
        <v>212</v>
      </c>
      <c r="D149" t="s">
        <v>34</v>
      </c>
      <c r="E149" t="s">
        <v>486</v>
      </c>
      <c r="F149" t="s">
        <v>487</v>
      </c>
      <c r="G149" t="s">
        <v>131</v>
      </c>
      <c r="H149" t="s">
        <v>132</v>
      </c>
      <c r="I149" t="s">
        <v>133</v>
      </c>
      <c r="J149" t="s">
        <v>39</v>
      </c>
      <c r="K149" t="s">
        <v>134</v>
      </c>
      <c r="L149" t="s">
        <v>41</v>
      </c>
      <c r="M149" t="s">
        <v>239</v>
      </c>
      <c r="N149">
        <v>4</v>
      </c>
      <c r="O149">
        <v>2.02</v>
      </c>
      <c r="P149">
        <v>8.08</v>
      </c>
      <c r="Q149">
        <v>0</v>
      </c>
      <c r="R149">
        <v>8.08</v>
      </c>
      <c r="S149">
        <v>4.43</v>
      </c>
      <c r="T149">
        <v>3.65</v>
      </c>
      <c r="U149" t="s">
        <v>43</v>
      </c>
      <c r="V149" t="s">
        <v>55</v>
      </c>
      <c r="W149">
        <v>5</v>
      </c>
      <c r="X149" s="25" t="s">
        <v>490</v>
      </c>
    </row>
    <row r="150" spans="1:24" x14ac:dyDescent="0.55000000000000004">
      <c r="A150" t="s">
        <v>277</v>
      </c>
      <c r="B150" s="24">
        <v>45457</v>
      </c>
      <c r="C150" t="s">
        <v>212</v>
      </c>
      <c r="D150" t="s">
        <v>57</v>
      </c>
      <c r="E150" t="s">
        <v>482</v>
      </c>
      <c r="F150" t="s">
        <v>483</v>
      </c>
      <c r="G150" t="s">
        <v>104</v>
      </c>
      <c r="H150" t="s">
        <v>105</v>
      </c>
      <c r="I150" t="s">
        <v>106</v>
      </c>
      <c r="J150" t="s">
        <v>39</v>
      </c>
      <c r="K150" t="s">
        <v>85</v>
      </c>
      <c r="L150" t="s">
        <v>100</v>
      </c>
      <c r="M150" t="s">
        <v>111</v>
      </c>
      <c r="N150">
        <v>2</v>
      </c>
      <c r="O150">
        <v>6.14</v>
      </c>
      <c r="P150">
        <v>12.28</v>
      </c>
      <c r="Q150">
        <v>1.23</v>
      </c>
      <c r="R150">
        <v>11.05</v>
      </c>
      <c r="S150">
        <v>5.74</v>
      </c>
      <c r="T150">
        <v>5.31</v>
      </c>
      <c r="U150" t="s">
        <v>123</v>
      </c>
      <c r="V150" t="s">
        <v>144</v>
      </c>
      <c r="W150">
        <v>5</v>
      </c>
      <c r="X150" s="25" t="s">
        <v>491</v>
      </c>
    </row>
    <row r="151" spans="1:24" x14ac:dyDescent="0.55000000000000004">
      <c r="A151" t="s">
        <v>278</v>
      </c>
      <c r="B151" s="24">
        <v>45459</v>
      </c>
      <c r="C151" t="s">
        <v>212</v>
      </c>
      <c r="D151" t="s">
        <v>99</v>
      </c>
      <c r="E151" t="s">
        <v>484</v>
      </c>
      <c r="F151" t="s">
        <v>485</v>
      </c>
      <c r="G151" t="s">
        <v>104</v>
      </c>
      <c r="H151" t="s">
        <v>105</v>
      </c>
      <c r="I151" t="s">
        <v>106</v>
      </c>
      <c r="J151" t="s">
        <v>39</v>
      </c>
      <c r="K151" t="s">
        <v>85</v>
      </c>
      <c r="L151" t="s">
        <v>52</v>
      </c>
      <c r="M151" t="s">
        <v>71</v>
      </c>
      <c r="N151">
        <v>3</v>
      </c>
      <c r="O151">
        <v>3.98</v>
      </c>
      <c r="P151">
        <v>11.94</v>
      </c>
      <c r="Q151">
        <v>0</v>
      </c>
      <c r="R151">
        <v>11.94</v>
      </c>
      <c r="S151">
        <v>5.5</v>
      </c>
      <c r="T151">
        <v>6.44</v>
      </c>
      <c r="U151" t="s">
        <v>72</v>
      </c>
      <c r="V151" t="s">
        <v>63</v>
      </c>
      <c r="W151">
        <v>5</v>
      </c>
      <c r="X151" s="25" t="s">
        <v>490</v>
      </c>
    </row>
    <row r="152" spans="1:24" x14ac:dyDescent="0.55000000000000004">
      <c r="A152" t="s">
        <v>279</v>
      </c>
      <c r="B152" s="24">
        <v>45459</v>
      </c>
      <c r="C152" t="s">
        <v>212</v>
      </c>
      <c r="D152" t="s">
        <v>99</v>
      </c>
      <c r="E152" t="s">
        <v>484</v>
      </c>
      <c r="F152" t="s">
        <v>485</v>
      </c>
      <c r="G152" t="s">
        <v>163</v>
      </c>
      <c r="H152" t="s">
        <v>164</v>
      </c>
      <c r="I152" t="s">
        <v>165</v>
      </c>
      <c r="J152" t="s">
        <v>39</v>
      </c>
      <c r="K152" t="s">
        <v>85</v>
      </c>
      <c r="L152" t="s">
        <v>78</v>
      </c>
      <c r="M152" t="s">
        <v>138</v>
      </c>
      <c r="N152">
        <v>1</v>
      </c>
      <c r="O152">
        <v>4.6100000000000003</v>
      </c>
      <c r="P152">
        <v>4.6100000000000003</v>
      </c>
      <c r="Q152">
        <v>0</v>
      </c>
      <c r="R152">
        <v>4.6100000000000003</v>
      </c>
      <c r="S152">
        <v>2.3199999999999998</v>
      </c>
      <c r="T152">
        <v>2.29</v>
      </c>
      <c r="U152" t="s">
        <v>102</v>
      </c>
      <c r="V152" t="s">
        <v>44</v>
      </c>
      <c r="W152">
        <v>3</v>
      </c>
      <c r="X152" s="25" t="s">
        <v>490</v>
      </c>
    </row>
    <row r="153" spans="1:24" x14ac:dyDescent="0.55000000000000004">
      <c r="A153" t="s">
        <v>280</v>
      </c>
      <c r="B153" s="24">
        <v>45460</v>
      </c>
      <c r="C153" t="s">
        <v>212</v>
      </c>
      <c r="D153" t="s">
        <v>75</v>
      </c>
      <c r="E153" t="s">
        <v>486</v>
      </c>
      <c r="F153" t="s">
        <v>487</v>
      </c>
      <c r="G153" t="s">
        <v>36</v>
      </c>
      <c r="H153" t="s">
        <v>37</v>
      </c>
      <c r="I153" t="s">
        <v>38</v>
      </c>
      <c r="J153" t="s">
        <v>39</v>
      </c>
      <c r="K153" t="s">
        <v>40</v>
      </c>
      <c r="L153" t="s">
        <v>78</v>
      </c>
      <c r="M153" t="s">
        <v>97</v>
      </c>
      <c r="N153">
        <v>3</v>
      </c>
      <c r="O153">
        <v>3.29</v>
      </c>
      <c r="P153">
        <v>9.8699999999999992</v>
      </c>
      <c r="Q153">
        <v>0.49</v>
      </c>
      <c r="R153">
        <v>9.3800000000000008</v>
      </c>
      <c r="S153">
        <v>4.57</v>
      </c>
      <c r="T153">
        <v>4.8099999999999996</v>
      </c>
      <c r="U153" t="s">
        <v>123</v>
      </c>
      <c r="V153" t="s">
        <v>63</v>
      </c>
      <c r="W153">
        <v>5</v>
      </c>
      <c r="X153" s="25" t="s">
        <v>490</v>
      </c>
    </row>
    <row r="154" spans="1:24" x14ac:dyDescent="0.55000000000000004">
      <c r="A154" t="s">
        <v>281</v>
      </c>
      <c r="B154" s="24">
        <v>45461</v>
      </c>
      <c r="C154" t="s">
        <v>212</v>
      </c>
      <c r="D154" t="s">
        <v>81</v>
      </c>
      <c r="E154" t="s">
        <v>488</v>
      </c>
      <c r="F154" t="s">
        <v>489</v>
      </c>
      <c r="G154" t="s">
        <v>82</v>
      </c>
      <c r="H154" t="s">
        <v>83</v>
      </c>
      <c r="I154" t="s">
        <v>84</v>
      </c>
      <c r="J154" t="s">
        <v>39</v>
      </c>
      <c r="K154" t="s">
        <v>85</v>
      </c>
      <c r="L154" t="s">
        <v>100</v>
      </c>
      <c r="M154" t="s">
        <v>117</v>
      </c>
      <c r="N154">
        <v>1</v>
      </c>
      <c r="O154">
        <v>3.37</v>
      </c>
      <c r="P154">
        <v>3.37</v>
      </c>
      <c r="Q154">
        <v>0</v>
      </c>
      <c r="R154">
        <v>3.37</v>
      </c>
      <c r="S154">
        <v>1.67</v>
      </c>
      <c r="T154">
        <v>1.7</v>
      </c>
      <c r="U154" t="s">
        <v>72</v>
      </c>
      <c r="V154" t="s">
        <v>144</v>
      </c>
      <c r="W154">
        <v>5</v>
      </c>
      <c r="X154" s="25" t="s">
        <v>490</v>
      </c>
    </row>
    <row r="155" spans="1:24" x14ac:dyDescent="0.55000000000000004">
      <c r="A155" t="s">
        <v>282</v>
      </c>
      <c r="B155" s="24">
        <v>45461</v>
      </c>
      <c r="C155" t="s">
        <v>212</v>
      </c>
      <c r="D155" t="s">
        <v>81</v>
      </c>
      <c r="E155" t="s">
        <v>482</v>
      </c>
      <c r="F155" t="s">
        <v>483</v>
      </c>
      <c r="G155" t="s">
        <v>36</v>
      </c>
      <c r="H155" t="s">
        <v>37</v>
      </c>
      <c r="I155" t="s">
        <v>38</v>
      </c>
      <c r="J155" t="s">
        <v>39</v>
      </c>
      <c r="K155" t="s">
        <v>40</v>
      </c>
      <c r="L155" t="s">
        <v>100</v>
      </c>
      <c r="M155" t="s">
        <v>215</v>
      </c>
      <c r="N155">
        <v>2</v>
      </c>
      <c r="O155">
        <v>7.88</v>
      </c>
      <c r="P155">
        <v>15.76</v>
      </c>
      <c r="Q155">
        <v>0</v>
      </c>
      <c r="R155">
        <v>15.76</v>
      </c>
      <c r="S155">
        <v>6.58</v>
      </c>
      <c r="T155">
        <v>9.18</v>
      </c>
      <c r="U155" t="s">
        <v>123</v>
      </c>
      <c r="V155" t="s">
        <v>55</v>
      </c>
      <c r="W155">
        <v>5</v>
      </c>
      <c r="X155" s="25" t="s">
        <v>490</v>
      </c>
    </row>
    <row r="156" spans="1:24" x14ac:dyDescent="0.55000000000000004">
      <c r="A156" t="s">
        <v>283</v>
      </c>
      <c r="B156" s="24">
        <v>45462</v>
      </c>
      <c r="C156" t="s">
        <v>212</v>
      </c>
      <c r="D156" t="s">
        <v>34</v>
      </c>
      <c r="E156" t="s">
        <v>482</v>
      </c>
      <c r="F156" t="s">
        <v>483</v>
      </c>
      <c r="G156" t="s">
        <v>114</v>
      </c>
      <c r="H156" t="s">
        <v>115</v>
      </c>
      <c r="I156" t="s">
        <v>116</v>
      </c>
      <c r="J156" t="s">
        <v>39</v>
      </c>
      <c r="K156" t="s">
        <v>51</v>
      </c>
      <c r="L156" t="s">
        <v>52</v>
      </c>
      <c r="M156" t="s">
        <v>180</v>
      </c>
      <c r="N156">
        <v>1</v>
      </c>
      <c r="O156">
        <v>3.86</v>
      </c>
      <c r="P156">
        <v>3.86</v>
      </c>
      <c r="Q156">
        <v>0</v>
      </c>
      <c r="R156">
        <v>3.86</v>
      </c>
      <c r="S156">
        <v>2.02</v>
      </c>
      <c r="T156">
        <v>1.84</v>
      </c>
      <c r="U156" t="s">
        <v>72</v>
      </c>
      <c r="V156" t="s">
        <v>44</v>
      </c>
      <c r="W156">
        <v>5</v>
      </c>
      <c r="X156" s="25" t="s">
        <v>490</v>
      </c>
    </row>
    <row r="157" spans="1:24" x14ac:dyDescent="0.55000000000000004">
      <c r="A157" t="s">
        <v>284</v>
      </c>
      <c r="B157" s="24">
        <v>45463</v>
      </c>
      <c r="C157" t="s">
        <v>212</v>
      </c>
      <c r="D157" t="s">
        <v>46</v>
      </c>
      <c r="E157" t="s">
        <v>484</v>
      </c>
      <c r="F157" t="s">
        <v>485</v>
      </c>
      <c r="G157" t="s">
        <v>48</v>
      </c>
      <c r="H157" t="s">
        <v>49</v>
      </c>
      <c r="I157" t="s">
        <v>50</v>
      </c>
      <c r="J157" t="s">
        <v>39</v>
      </c>
      <c r="K157" t="s">
        <v>51</v>
      </c>
      <c r="L157" t="s">
        <v>100</v>
      </c>
      <c r="M157" t="s">
        <v>101</v>
      </c>
      <c r="N157">
        <v>1</v>
      </c>
      <c r="O157">
        <v>3.53</v>
      </c>
      <c r="P157">
        <v>3.53</v>
      </c>
      <c r="Q157">
        <v>0</v>
      </c>
      <c r="R157">
        <v>3.53</v>
      </c>
      <c r="S157">
        <v>1.79</v>
      </c>
      <c r="T157">
        <v>1.74</v>
      </c>
      <c r="U157" t="s">
        <v>54</v>
      </c>
      <c r="V157" t="s">
        <v>144</v>
      </c>
      <c r="W157">
        <v>4</v>
      </c>
      <c r="X157" s="25" t="s">
        <v>490</v>
      </c>
    </row>
    <row r="158" spans="1:24" x14ac:dyDescent="0.55000000000000004">
      <c r="A158" t="s">
        <v>285</v>
      </c>
      <c r="B158" s="24">
        <v>45464</v>
      </c>
      <c r="C158" t="s">
        <v>212</v>
      </c>
      <c r="D158" t="s">
        <v>57</v>
      </c>
      <c r="E158" t="s">
        <v>482</v>
      </c>
      <c r="F158" t="s">
        <v>483</v>
      </c>
      <c r="G158" t="s">
        <v>104</v>
      </c>
      <c r="H158" t="s">
        <v>105</v>
      </c>
      <c r="I158" t="s">
        <v>106</v>
      </c>
      <c r="J158" t="s">
        <v>39</v>
      </c>
      <c r="K158" t="s">
        <v>85</v>
      </c>
      <c r="L158" t="s">
        <v>78</v>
      </c>
      <c r="M158" t="s">
        <v>138</v>
      </c>
      <c r="N158">
        <v>1</v>
      </c>
      <c r="O158">
        <v>4.41</v>
      </c>
      <c r="P158">
        <v>4.41</v>
      </c>
      <c r="Q158">
        <v>0.44</v>
      </c>
      <c r="R158">
        <v>3.97</v>
      </c>
      <c r="S158">
        <v>1.66</v>
      </c>
      <c r="T158">
        <v>2.31</v>
      </c>
      <c r="U158" t="s">
        <v>43</v>
      </c>
      <c r="V158" t="s">
        <v>73</v>
      </c>
      <c r="W158">
        <v>4</v>
      </c>
      <c r="X158" s="25" t="s">
        <v>491</v>
      </c>
    </row>
    <row r="159" spans="1:24" x14ac:dyDescent="0.55000000000000004">
      <c r="A159" t="s">
        <v>286</v>
      </c>
      <c r="B159" s="24">
        <v>45465</v>
      </c>
      <c r="C159" t="s">
        <v>212</v>
      </c>
      <c r="D159" t="s">
        <v>69</v>
      </c>
      <c r="E159" t="s">
        <v>482</v>
      </c>
      <c r="F159" t="s">
        <v>483</v>
      </c>
      <c r="G159" t="s">
        <v>104</v>
      </c>
      <c r="H159" t="s">
        <v>105</v>
      </c>
      <c r="I159" t="s">
        <v>106</v>
      </c>
      <c r="J159" t="s">
        <v>39</v>
      </c>
      <c r="K159" t="s">
        <v>85</v>
      </c>
      <c r="L159" t="s">
        <v>61</v>
      </c>
      <c r="M159" t="s">
        <v>121</v>
      </c>
      <c r="N159">
        <v>2</v>
      </c>
      <c r="O159">
        <v>9.2100000000000009</v>
      </c>
      <c r="P159">
        <v>18.420000000000002</v>
      </c>
      <c r="Q159">
        <v>1.84</v>
      </c>
      <c r="R159">
        <v>16.579999999999998</v>
      </c>
      <c r="S159">
        <v>6</v>
      </c>
      <c r="T159">
        <v>10.58</v>
      </c>
      <c r="U159" t="s">
        <v>102</v>
      </c>
      <c r="V159" t="s">
        <v>144</v>
      </c>
      <c r="W159">
        <v>2</v>
      </c>
      <c r="X159" s="25" t="s">
        <v>491</v>
      </c>
    </row>
    <row r="160" spans="1:24" x14ac:dyDescent="0.55000000000000004">
      <c r="A160" t="s">
        <v>287</v>
      </c>
      <c r="B160" s="24">
        <v>45467</v>
      </c>
      <c r="C160" t="s">
        <v>212</v>
      </c>
      <c r="D160" t="s">
        <v>75</v>
      </c>
      <c r="E160" t="s">
        <v>488</v>
      </c>
      <c r="F160" t="s">
        <v>489</v>
      </c>
      <c r="G160" t="s">
        <v>82</v>
      </c>
      <c r="H160" t="s">
        <v>83</v>
      </c>
      <c r="I160" t="s">
        <v>84</v>
      </c>
      <c r="J160" t="s">
        <v>39</v>
      </c>
      <c r="K160" t="s">
        <v>85</v>
      </c>
      <c r="L160" t="s">
        <v>52</v>
      </c>
      <c r="M160" t="s">
        <v>180</v>
      </c>
      <c r="N160">
        <v>4</v>
      </c>
      <c r="O160">
        <v>3.84</v>
      </c>
      <c r="P160">
        <v>15.36</v>
      </c>
      <c r="Q160">
        <v>0.77</v>
      </c>
      <c r="R160">
        <v>14.59</v>
      </c>
      <c r="S160">
        <v>6.72</v>
      </c>
      <c r="T160">
        <v>7.87</v>
      </c>
      <c r="U160" t="s">
        <v>123</v>
      </c>
      <c r="V160" t="s">
        <v>87</v>
      </c>
      <c r="W160">
        <v>5</v>
      </c>
      <c r="X160" s="25" t="s">
        <v>490</v>
      </c>
    </row>
    <row r="161" spans="1:24" x14ac:dyDescent="0.55000000000000004">
      <c r="A161" t="s">
        <v>288</v>
      </c>
      <c r="B161" s="24">
        <v>45468</v>
      </c>
      <c r="C161" t="s">
        <v>212</v>
      </c>
      <c r="D161" t="s">
        <v>81</v>
      </c>
      <c r="E161" t="s">
        <v>482</v>
      </c>
      <c r="F161" t="s">
        <v>483</v>
      </c>
      <c r="G161" t="s">
        <v>114</v>
      </c>
      <c r="H161" t="s">
        <v>115</v>
      </c>
      <c r="I161" t="s">
        <v>116</v>
      </c>
      <c r="J161" t="s">
        <v>39</v>
      </c>
      <c r="K161" t="s">
        <v>51</v>
      </c>
      <c r="L161" t="s">
        <v>61</v>
      </c>
      <c r="M161" t="s">
        <v>161</v>
      </c>
      <c r="N161">
        <v>2</v>
      </c>
      <c r="O161">
        <v>10.93</v>
      </c>
      <c r="P161">
        <v>21.86</v>
      </c>
      <c r="Q161">
        <v>0</v>
      </c>
      <c r="R161">
        <v>21.86</v>
      </c>
      <c r="S161">
        <v>8.4499999999999993</v>
      </c>
      <c r="T161">
        <v>13.41</v>
      </c>
      <c r="U161" t="s">
        <v>43</v>
      </c>
      <c r="V161" t="s">
        <v>63</v>
      </c>
      <c r="W161">
        <v>5</v>
      </c>
      <c r="X161" s="25" t="s">
        <v>490</v>
      </c>
    </row>
    <row r="162" spans="1:24" x14ac:dyDescent="0.55000000000000004">
      <c r="A162" t="s">
        <v>289</v>
      </c>
      <c r="B162" s="24">
        <v>45468</v>
      </c>
      <c r="C162" t="s">
        <v>212</v>
      </c>
      <c r="D162" t="s">
        <v>81</v>
      </c>
      <c r="E162" t="s">
        <v>484</v>
      </c>
      <c r="F162" t="s">
        <v>485</v>
      </c>
      <c r="G162" t="s">
        <v>114</v>
      </c>
      <c r="H162" t="s">
        <v>115</v>
      </c>
      <c r="I162" t="s">
        <v>116</v>
      </c>
      <c r="J162" t="s">
        <v>39</v>
      </c>
      <c r="K162" t="s">
        <v>51</v>
      </c>
      <c r="L162" t="s">
        <v>41</v>
      </c>
      <c r="M162" t="s">
        <v>42</v>
      </c>
      <c r="N162">
        <v>2</v>
      </c>
      <c r="O162">
        <v>4.38</v>
      </c>
      <c r="P162">
        <v>8.76</v>
      </c>
      <c r="Q162">
        <v>0</v>
      </c>
      <c r="R162">
        <v>8.76</v>
      </c>
      <c r="S162">
        <v>3.28</v>
      </c>
      <c r="T162">
        <v>5.48</v>
      </c>
      <c r="U162" t="s">
        <v>72</v>
      </c>
      <c r="V162" t="s">
        <v>44</v>
      </c>
      <c r="W162">
        <v>3</v>
      </c>
      <c r="X162" s="25" t="s">
        <v>490</v>
      </c>
    </row>
    <row r="163" spans="1:24" x14ac:dyDescent="0.55000000000000004">
      <c r="A163" t="s">
        <v>290</v>
      </c>
      <c r="B163" s="24">
        <v>45468</v>
      </c>
      <c r="C163" t="s">
        <v>212</v>
      </c>
      <c r="D163" t="s">
        <v>81</v>
      </c>
      <c r="E163" t="s">
        <v>488</v>
      </c>
      <c r="F163" t="s">
        <v>489</v>
      </c>
      <c r="G163" t="s">
        <v>163</v>
      </c>
      <c r="H163" t="s">
        <v>164</v>
      </c>
      <c r="I163" t="s">
        <v>165</v>
      </c>
      <c r="J163" t="s">
        <v>39</v>
      </c>
      <c r="K163" t="s">
        <v>85</v>
      </c>
      <c r="L163" t="s">
        <v>78</v>
      </c>
      <c r="M163" t="s">
        <v>97</v>
      </c>
      <c r="N163">
        <v>5</v>
      </c>
      <c r="O163">
        <v>3.21</v>
      </c>
      <c r="P163">
        <v>16.05</v>
      </c>
      <c r="Q163">
        <v>2.41</v>
      </c>
      <c r="R163">
        <v>13.64</v>
      </c>
      <c r="S163">
        <v>5.29</v>
      </c>
      <c r="T163">
        <v>8.35</v>
      </c>
      <c r="U163" t="s">
        <v>102</v>
      </c>
      <c r="V163" t="s">
        <v>73</v>
      </c>
      <c r="W163">
        <v>1</v>
      </c>
      <c r="X163" s="25" t="s">
        <v>493</v>
      </c>
    </row>
    <row r="164" spans="1:24" x14ac:dyDescent="0.55000000000000004">
      <c r="A164" t="s">
        <v>291</v>
      </c>
      <c r="B164" s="24">
        <v>45468</v>
      </c>
      <c r="C164" t="s">
        <v>212</v>
      </c>
      <c r="D164" t="s">
        <v>81</v>
      </c>
      <c r="E164" t="s">
        <v>486</v>
      </c>
      <c r="F164" t="s">
        <v>487</v>
      </c>
      <c r="G164" t="s">
        <v>131</v>
      </c>
      <c r="H164" t="s">
        <v>132</v>
      </c>
      <c r="I164" t="s">
        <v>133</v>
      </c>
      <c r="J164" t="s">
        <v>39</v>
      </c>
      <c r="K164" t="s">
        <v>134</v>
      </c>
      <c r="L164" t="s">
        <v>66</v>
      </c>
      <c r="M164" t="s">
        <v>107</v>
      </c>
      <c r="N164">
        <v>3</v>
      </c>
      <c r="O164">
        <v>3.8</v>
      </c>
      <c r="P164">
        <v>11.4</v>
      </c>
      <c r="Q164">
        <v>2.2799999999999998</v>
      </c>
      <c r="R164">
        <v>9.1199999999999992</v>
      </c>
      <c r="S164">
        <v>3.88</v>
      </c>
      <c r="T164">
        <v>5.24</v>
      </c>
      <c r="U164" t="s">
        <v>43</v>
      </c>
      <c r="V164" t="s">
        <v>55</v>
      </c>
      <c r="W164">
        <v>4</v>
      </c>
      <c r="X164" s="25" t="s">
        <v>492</v>
      </c>
    </row>
    <row r="165" spans="1:24" x14ac:dyDescent="0.55000000000000004">
      <c r="A165" t="s">
        <v>292</v>
      </c>
      <c r="B165" s="24">
        <v>45471</v>
      </c>
      <c r="C165" t="s">
        <v>212</v>
      </c>
      <c r="D165" t="s">
        <v>57</v>
      </c>
      <c r="E165" t="s">
        <v>484</v>
      </c>
      <c r="F165" t="s">
        <v>485</v>
      </c>
      <c r="G165" t="s">
        <v>58</v>
      </c>
      <c r="H165" t="s">
        <v>59</v>
      </c>
      <c r="I165" t="s">
        <v>60</v>
      </c>
      <c r="J165" t="s">
        <v>39</v>
      </c>
      <c r="K165" t="s">
        <v>40</v>
      </c>
      <c r="L165" t="s">
        <v>52</v>
      </c>
      <c r="M165" t="s">
        <v>53</v>
      </c>
      <c r="N165">
        <v>1</v>
      </c>
      <c r="O165">
        <v>2.52</v>
      </c>
      <c r="P165">
        <v>2.52</v>
      </c>
      <c r="Q165">
        <v>0</v>
      </c>
      <c r="R165">
        <v>2.52</v>
      </c>
      <c r="S165">
        <v>1.1599999999999999</v>
      </c>
      <c r="T165">
        <v>1.36</v>
      </c>
      <c r="U165" t="s">
        <v>54</v>
      </c>
      <c r="V165" t="s">
        <v>55</v>
      </c>
      <c r="W165">
        <v>5</v>
      </c>
      <c r="X165" s="25" t="s">
        <v>490</v>
      </c>
    </row>
    <row r="166" spans="1:24" x14ac:dyDescent="0.55000000000000004">
      <c r="A166" t="s">
        <v>293</v>
      </c>
      <c r="B166" s="24">
        <v>45472</v>
      </c>
      <c r="C166" t="s">
        <v>212</v>
      </c>
      <c r="D166" t="s">
        <v>69</v>
      </c>
      <c r="E166" t="s">
        <v>484</v>
      </c>
      <c r="F166" t="s">
        <v>485</v>
      </c>
      <c r="G166" t="s">
        <v>104</v>
      </c>
      <c r="H166" t="s">
        <v>105</v>
      </c>
      <c r="I166" t="s">
        <v>106</v>
      </c>
      <c r="J166" t="s">
        <v>39</v>
      </c>
      <c r="K166" t="s">
        <v>85</v>
      </c>
      <c r="L166" t="s">
        <v>100</v>
      </c>
      <c r="M166" t="s">
        <v>101</v>
      </c>
      <c r="N166">
        <v>2</v>
      </c>
      <c r="O166">
        <v>3.57</v>
      </c>
      <c r="P166">
        <v>7.14</v>
      </c>
      <c r="Q166">
        <v>0.36</v>
      </c>
      <c r="R166">
        <v>6.78</v>
      </c>
      <c r="S166">
        <v>3.01</v>
      </c>
      <c r="T166">
        <v>3.77</v>
      </c>
      <c r="U166" t="s">
        <v>43</v>
      </c>
      <c r="V166" t="s">
        <v>144</v>
      </c>
      <c r="W166">
        <v>4</v>
      </c>
      <c r="X166" s="25" t="s">
        <v>490</v>
      </c>
    </row>
    <row r="167" spans="1:24" x14ac:dyDescent="0.55000000000000004">
      <c r="A167" t="s">
        <v>294</v>
      </c>
      <c r="B167" s="24">
        <v>45473</v>
      </c>
      <c r="C167" t="s">
        <v>212</v>
      </c>
      <c r="D167" t="s">
        <v>99</v>
      </c>
      <c r="E167" t="s">
        <v>486</v>
      </c>
      <c r="F167" t="s">
        <v>487</v>
      </c>
      <c r="G167" t="s">
        <v>58</v>
      </c>
      <c r="H167" t="s">
        <v>59</v>
      </c>
      <c r="I167" t="s">
        <v>60</v>
      </c>
      <c r="J167" t="s">
        <v>39</v>
      </c>
      <c r="K167" t="s">
        <v>40</v>
      </c>
      <c r="L167" t="s">
        <v>61</v>
      </c>
      <c r="M167" t="s">
        <v>119</v>
      </c>
      <c r="N167">
        <v>1</v>
      </c>
      <c r="O167">
        <v>6.88</v>
      </c>
      <c r="P167">
        <v>6.88</v>
      </c>
      <c r="Q167">
        <v>0.34</v>
      </c>
      <c r="R167">
        <v>6.54</v>
      </c>
      <c r="S167">
        <v>2.58</v>
      </c>
      <c r="T167">
        <v>3.96</v>
      </c>
      <c r="U167" t="s">
        <v>123</v>
      </c>
      <c r="V167" t="s">
        <v>55</v>
      </c>
      <c r="W167">
        <v>3</v>
      </c>
      <c r="X167" s="25" t="s">
        <v>490</v>
      </c>
    </row>
    <row r="168" spans="1:24" x14ac:dyDescent="0.55000000000000004">
      <c r="A168" t="s">
        <v>295</v>
      </c>
      <c r="B168" s="24">
        <v>45475</v>
      </c>
      <c r="C168" t="s">
        <v>296</v>
      </c>
      <c r="D168" t="s">
        <v>81</v>
      </c>
      <c r="E168" t="s">
        <v>482</v>
      </c>
      <c r="F168" t="s">
        <v>483</v>
      </c>
      <c r="G168" t="s">
        <v>58</v>
      </c>
      <c r="H168" t="s">
        <v>59</v>
      </c>
      <c r="I168" t="s">
        <v>60</v>
      </c>
      <c r="J168" t="s">
        <v>39</v>
      </c>
      <c r="K168" t="s">
        <v>40</v>
      </c>
      <c r="L168" t="s">
        <v>66</v>
      </c>
      <c r="M168" t="s">
        <v>95</v>
      </c>
      <c r="N168">
        <v>2</v>
      </c>
      <c r="O168">
        <v>1.99</v>
      </c>
      <c r="P168">
        <v>3.98</v>
      </c>
      <c r="Q168">
        <v>0</v>
      </c>
      <c r="R168">
        <v>3.98</v>
      </c>
      <c r="S168">
        <v>2.17</v>
      </c>
      <c r="T168">
        <v>1.81</v>
      </c>
      <c r="U168" t="s">
        <v>72</v>
      </c>
      <c r="V168" t="s">
        <v>55</v>
      </c>
      <c r="W168">
        <v>4</v>
      </c>
      <c r="X168" s="25" t="s">
        <v>490</v>
      </c>
    </row>
    <row r="169" spans="1:24" x14ac:dyDescent="0.55000000000000004">
      <c r="A169" t="s">
        <v>297</v>
      </c>
      <c r="B169" s="24">
        <v>45476</v>
      </c>
      <c r="C169" t="s">
        <v>296</v>
      </c>
      <c r="D169" t="s">
        <v>34</v>
      </c>
      <c r="E169" t="s">
        <v>482</v>
      </c>
      <c r="F169" t="s">
        <v>483</v>
      </c>
      <c r="G169" t="s">
        <v>36</v>
      </c>
      <c r="H169" t="s">
        <v>37</v>
      </c>
      <c r="I169" t="s">
        <v>38</v>
      </c>
      <c r="J169" t="s">
        <v>39</v>
      </c>
      <c r="K169" t="s">
        <v>40</v>
      </c>
      <c r="L169" t="s">
        <v>66</v>
      </c>
      <c r="M169" t="s">
        <v>95</v>
      </c>
      <c r="N169">
        <v>3</v>
      </c>
      <c r="O169">
        <v>1.99</v>
      </c>
      <c r="P169">
        <v>5.97</v>
      </c>
      <c r="Q169">
        <v>0.3</v>
      </c>
      <c r="R169">
        <v>5.67</v>
      </c>
      <c r="S169">
        <v>2.12</v>
      </c>
      <c r="T169">
        <v>3.55</v>
      </c>
      <c r="U169" t="s">
        <v>102</v>
      </c>
      <c r="V169" t="s">
        <v>44</v>
      </c>
      <c r="W169">
        <v>4</v>
      </c>
      <c r="X169" s="25" t="s">
        <v>490</v>
      </c>
    </row>
    <row r="170" spans="1:24" x14ac:dyDescent="0.55000000000000004">
      <c r="A170" t="s">
        <v>298</v>
      </c>
      <c r="B170" s="24">
        <v>45477</v>
      </c>
      <c r="C170" t="s">
        <v>296</v>
      </c>
      <c r="D170" t="s">
        <v>46</v>
      </c>
      <c r="E170" t="s">
        <v>488</v>
      </c>
      <c r="F170" t="s">
        <v>489</v>
      </c>
      <c r="G170" t="s">
        <v>131</v>
      </c>
      <c r="H170" t="s">
        <v>132</v>
      </c>
      <c r="I170" t="s">
        <v>133</v>
      </c>
      <c r="J170" t="s">
        <v>39</v>
      </c>
      <c r="K170" t="s">
        <v>134</v>
      </c>
      <c r="L170" t="s">
        <v>41</v>
      </c>
      <c r="M170" t="s">
        <v>154</v>
      </c>
      <c r="N170">
        <v>1</v>
      </c>
      <c r="O170">
        <v>1.5</v>
      </c>
      <c r="P170">
        <v>1.5</v>
      </c>
      <c r="Q170">
        <v>0.15</v>
      </c>
      <c r="R170">
        <v>1.35</v>
      </c>
      <c r="S170">
        <v>0.74</v>
      </c>
      <c r="T170">
        <v>0.61</v>
      </c>
      <c r="U170" t="s">
        <v>93</v>
      </c>
      <c r="V170" t="s">
        <v>144</v>
      </c>
      <c r="W170">
        <v>4</v>
      </c>
      <c r="X170" s="25" t="s">
        <v>491</v>
      </c>
    </row>
    <row r="171" spans="1:24" x14ac:dyDescent="0.55000000000000004">
      <c r="A171" t="s">
        <v>299</v>
      </c>
      <c r="B171" s="24">
        <v>45478</v>
      </c>
      <c r="C171" t="s">
        <v>296</v>
      </c>
      <c r="D171" t="s">
        <v>57</v>
      </c>
      <c r="E171" t="s">
        <v>482</v>
      </c>
      <c r="F171" t="s">
        <v>483</v>
      </c>
      <c r="G171" t="s">
        <v>36</v>
      </c>
      <c r="H171" t="s">
        <v>37</v>
      </c>
      <c r="I171" t="s">
        <v>38</v>
      </c>
      <c r="J171" t="s">
        <v>39</v>
      </c>
      <c r="K171" t="s">
        <v>40</v>
      </c>
      <c r="L171" t="s">
        <v>78</v>
      </c>
      <c r="M171" t="s">
        <v>97</v>
      </c>
      <c r="N171">
        <v>1</v>
      </c>
      <c r="O171">
        <v>3.34</v>
      </c>
      <c r="P171">
        <v>3.34</v>
      </c>
      <c r="Q171">
        <v>0</v>
      </c>
      <c r="R171">
        <v>3.34</v>
      </c>
      <c r="S171">
        <v>1.53</v>
      </c>
      <c r="T171">
        <v>1.81</v>
      </c>
      <c r="U171" t="s">
        <v>123</v>
      </c>
      <c r="V171" t="s">
        <v>63</v>
      </c>
      <c r="W171">
        <v>4</v>
      </c>
      <c r="X171" s="25" t="s">
        <v>490</v>
      </c>
    </row>
    <row r="172" spans="1:24" x14ac:dyDescent="0.55000000000000004">
      <c r="A172" t="s">
        <v>300</v>
      </c>
      <c r="B172" s="24">
        <v>45478</v>
      </c>
      <c r="C172" t="s">
        <v>296</v>
      </c>
      <c r="D172" t="s">
        <v>57</v>
      </c>
      <c r="E172" t="s">
        <v>484</v>
      </c>
      <c r="F172" t="s">
        <v>485</v>
      </c>
      <c r="G172" t="s">
        <v>163</v>
      </c>
      <c r="H172" t="s">
        <v>164</v>
      </c>
      <c r="I172" t="s">
        <v>165</v>
      </c>
      <c r="J172" t="s">
        <v>39</v>
      </c>
      <c r="K172" t="s">
        <v>85</v>
      </c>
      <c r="L172" t="s">
        <v>66</v>
      </c>
      <c r="M172" t="s">
        <v>183</v>
      </c>
      <c r="N172">
        <v>2</v>
      </c>
      <c r="O172">
        <v>1.48</v>
      </c>
      <c r="P172">
        <v>2.96</v>
      </c>
      <c r="Q172">
        <v>0.15</v>
      </c>
      <c r="R172">
        <v>2.81</v>
      </c>
      <c r="S172">
        <v>1.43</v>
      </c>
      <c r="T172">
        <v>1.38</v>
      </c>
      <c r="U172" t="s">
        <v>54</v>
      </c>
      <c r="V172" t="s">
        <v>55</v>
      </c>
      <c r="W172">
        <v>4</v>
      </c>
      <c r="X172" s="25" t="s">
        <v>490</v>
      </c>
    </row>
    <row r="173" spans="1:24" x14ac:dyDescent="0.55000000000000004">
      <c r="A173" t="s">
        <v>301</v>
      </c>
      <c r="B173" s="24">
        <v>45480</v>
      </c>
      <c r="C173" t="s">
        <v>296</v>
      </c>
      <c r="D173" t="s">
        <v>99</v>
      </c>
      <c r="E173" t="s">
        <v>486</v>
      </c>
      <c r="F173" t="s">
        <v>487</v>
      </c>
      <c r="G173" t="s">
        <v>48</v>
      </c>
      <c r="H173" t="s">
        <v>49</v>
      </c>
      <c r="I173" t="s">
        <v>50</v>
      </c>
      <c r="J173" t="s">
        <v>39</v>
      </c>
      <c r="K173" t="s">
        <v>51</v>
      </c>
      <c r="L173" t="s">
        <v>78</v>
      </c>
      <c r="M173" t="s">
        <v>138</v>
      </c>
      <c r="N173">
        <v>2</v>
      </c>
      <c r="O173">
        <v>4.59</v>
      </c>
      <c r="P173">
        <v>9.18</v>
      </c>
      <c r="Q173">
        <v>0.92</v>
      </c>
      <c r="R173">
        <v>8.26</v>
      </c>
      <c r="S173">
        <v>3.04</v>
      </c>
      <c r="T173">
        <v>5.22</v>
      </c>
      <c r="U173" t="s">
        <v>72</v>
      </c>
      <c r="V173" t="s">
        <v>73</v>
      </c>
      <c r="W173">
        <v>5</v>
      </c>
      <c r="X173" s="25" t="s">
        <v>491</v>
      </c>
    </row>
    <row r="174" spans="1:24" x14ac:dyDescent="0.55000000000000004">
      <c r="A174" t="s">
        <v>302</v>
      </c>
      <c r="B174" s="24">
        <v>45480</v>
      </c>
      <c r="C174" t="s">
        <v>296</v>
      </c>
      <c r="D174" t="s">
        <v>99</v>
      </c>
      <c r="E174" t="s">
        <v>488</v>
      </c>
      <c r="F174" t="s">
        <v>489</v>
      </c>
      <c r="G174" t="s">
        <v>114</v>
      </c>
      <c r="H174" t="s">
        <v>115</v>
      </c>
      <c r="I174" t="s">
        <v>116</v>
      </c>
      <c r="J174" t="s">
        <v>39</v>
      </c>
      <c r="K174" t="s">
        <v>51</v>
      </c>
      <c r="L174" t="s">
        <v>78</v>
      </c>
      <c r="M174" t="s">
        <v>141</v>
      </c>
      <c r="N174">
        <v>4</v>
      </c>
      <c r="O174">
        <v>6.45</v>
      </c>
      <c r="P174">
        <v>25.8</v>
      </c>
      <c r="Q174">
        <v>5.16</v>
      </c>
      <c r="R174">
        <v>20.64</v>
      </c>
      <c r="S174">
        <v>9.27</v>
      </c>
      <c r="T174">
        <v>11.37</v>
      </c>
      <c r="U174" t="s">
        <v>72</v>
      </c>
      <c r="V174" t="s">
        <v>55</v>
      </c>
      <c r="W174">
        <v>4</v>
      </c>
      <c r="X174" s="25" t="s">
        <v>492</v>
      </c>
    </row>
    <row r="175" spans="1:24" x14ac:dyDescent="0.55000000000000004">
      <c r="A175" t="s">
        <v>303</v>
      </c>
      <c r="B175" s="24">
        <v>45481</v>
      </c>
      <c r="C175" t="s">
        <v>296</v>
      </c>
      <c r="D175" t="s">
        <v>75</v>
      </c>
      <c r="E175" t="s">
        <v>488</v>
      </c>
      <c r="F175" t="s">
        <v>489</v>
      </c>
      <c r="G175" t="s">
        <v>89</v>
      </c>
      <c r="H175" t="s">
        <v>90</v>
      </c>
      <c r="I175" t="s">
        <v>91</v>
      </c>
      <c r="J175" t="s">
        <v>39</v>
      </c>
      <c r="K175" t="s">
        <v>92</v>
      </c>
      <c r="L175" t="s">
        <v>78</v>
      </c>
      <c r="M175" t="s">
        <v>97</v>
      </c>
      <c r="N175">
        <v>3</v>
      </c>
      <c r="O175">
        <v>3.22</v>
      </c>
      <c r="P175">
        <v>9.66</v>
      </c>
      <c r="Q175">
        <v>0</v>
      </c>
      <c r="R175">
        <v>9.66</v>
      </c>
      <c r="S175">
        <v>3.57</v>
      </c>
      <c r="T175">
        <v>6.09</v>
      </c>
      <c r="U175" t="s">
        <v>72</v>
      </c>
      <c r="V175" t="s">
        <v>87</v>
      </c>
      <c r="W175">
        <v>5</v>
      </c>
      <c r="X175" s="25" t="s">
        <v>490</v>
      </c>
    </row>
    <row r="176" spans="1:24" x14ac:dyDescent="0.55000000000000004">
      <c r="A176" t="s">
        <v>304</v>
      </c>
      <c r="B176" s="24">
        <v>45481</v>
      </c>
      <c r="C176" t="s">
        <v>296</v>
      </c>
      <c r="D176" t="s">
        <v>75</v>
      </c>
      <c r="E176" t="s">
        <v>484</v>
      </c>
      <c r="F176" t="s">
        <v>485</v>
      </c>
      <c r="G176" t="s">
        <v>163</v>
      </c>
      <c r="H176" t="s">
        <v>164</v>
      </c>
      <c r="I176" t="s">
        <v>165</v>
      </c>
      <c r="J176" t="s">
        <v>39</v>
      </c>
      <c r="K176" t="s">
        <v>85</v>
      </c>
      <c r="L176" t="s">
        <v>78</v>
      </c>
      <c r="M176" t="s">
        <v>143</v>
      </c>
      <c r="N176">
        <v>2</v>
      </c>
      <c r="O176">
        <v>2.79</v>
      </c>
      <c r="P176">
        <v>5.58</v>
      </c>
      <c r="Q176">
        <v>0</v>
      </c>
      <c r="R176">
        <v>5.58</v>
      </c>
      <c r="S176">
        <v>2.68</v>
      </c>
      <c r="T176">
        <v>2.9</v>
      </c>
      <c r="U176" t="s">
        <v>93</v>
      </c>
      <c r="V176" t="s">
        <v>144</v>
      </c>
      <c r="W176">
        <v>5</v>
      </c>
      <c r="X176" s="25" t="s">
        <v>490</v>
      </c>
    </row>
    <row r="177" spans="1:24" x14ac:dyDescent="0.55000000000000004">
      <c r="A177" t="s">
        <v>305</v>
      </c>
      <c r="B177" s="24">
        <v>45482</v>
      </c>
      <c r="C177" t="s">
        <v>296</v>
      </c>
      <c r="D177" t="s">
        <v>81</v>
      </c>
      <c r="E177" t="s">
        <v>484</v>
      </c>
      <c r="F177" t="s">
        <v>485</v>
      </c>
      <c r="G177" t="s">
        <v>76</v>
      </c>
      <c r="H177" t="s">
        <v>77</v>
      </c>
      <c r="I177" t="s">
        <v>38</v>
      </c>
      <c r="J177" t="s">
        <v>39</v>
      </c>
      <c r="K177" t="s">
        <v>40</v>
      </c>
      <c r="L177" t="s">
        <v>100</v>
      </c>
      <c r="M177" t="s">
        <v>117</v>
      </c>
      <c r="N177">
        <v>2</v>
      </c>
      <c r="O177">
        <v>3.33</v>
      </c>
      <c r="P177">
        <v>6.66</v>
      </c>
      <c r="Q177">
        <v>0.67</v>
      </c>
      <c r="R177">
        <v>5.99</v>
      </c>
      <c r="S177">
        <v>2.61</v>
      </c>
      <c r="T177">
        <v>3.38</v>
      </c>
      <c r="U177" t="s">
        <v>102</v>
      </c>
      <c r="V177" t="s">
        <v>73</v>
      </c>
      <c r="W177">
        <v>1</v>
      </c>
      <c r="X177" s="25" t="s">
        <v>491</v>
      </c>
    </row>
    <row r="178" spans="1:24" x14ac:dyDescent="0.55000000000000004">
      <c r="A178" t="s">
        <v>306</v>
      </c>
      <c r="B178" s="24">
        <v>45483</v>
      </c>
      <c r="C178" t="s">
        <v>296</v>
      </c>
      <c r="D178" t="s">
        <v>34</v>
      </c>
      <c r="E178" t="s">
        <v>484</v>
      </c>
      <c r="F178" t="s">
        <v>485</v>
      </c>
      <c r="G178" t="s">
        <v>76</v>
      </c>
      <c r="H178" t="s">
        <v>77</v>
      </c>
      <c r="I178" t="s">
        <v>38</v>
      </c>
      <c r="J178" t="s">
        <v>39</v>
      </c>
      <c r="K178" t="s">
        <v>40</v>
      </c>
      <c r="L178" t="s">
        <v>52</v>
      </c>
      <c r="M178" t="s">
        <v>53</v>
      </c>
      <c r="N178">
        <v>1</v>
      </c>
      <c r="O178">
        <v>2.54</v>
      </c>
      <c r="P178">
        <v>2.54</v>
      </c>
      <c r="Q178">
        <v>0</v>
      </c>
      <c r="R178">
        <v>2.54</v>
      </c>
      <c r="S178">
        <v>0.94</v>
      </c>
      <c r="T178">
        <v>1.6</v>
      </c>
      <c r="U178" t="s">
        <v>54</v>
      </c>
      <c r="V178" t="s">
        <v>55</v>
      </c>
      <c r="W178">
        <v>4</v>
      </c>
      <c r="X178" s="25" t="s">
        <v>490</v>
      </c>
    </row>
    <row r="179" spans="1:24" x14ac:dyDescent="0.55000000000000004">
      <c r="A179" t="s">
        <v>307</v>
      </c>
      <c r="B179" s="24">
        <v>45483</v>
      </c>
      <c r="C179" t="s">
        <v>296</v>
      </c>
      <c r="D179" t="s">
        <v>34</v>
      </c>
      <c r="E179" t="s">
        <v>484</v>
      </c>
      <c r="F179" t="s">
        <v>485</v>
      </c>
      <c r="G179" t="s">
        <v>36</v>
      </c>
      <c r="H179" t="s">
        <v>37</v>
      </c>
      <c r="I179" t="s">
        <v>38</v>
      </c>
      <c r="J179" t="s">
        <v>39</v>
      </c>
      <c r="K179" t="s">
        <v>40</v>
      </c>
      <c r="L179" t="s">
        <v>78</v>
      </c>
      <c r="M179" t="s">
        <v>143</v>
      </c>
      <c r="N179">
        <v>1</v>
      </c>
      <c r="O179">
        <v>2.71</v>
      </c>
      <c r="P179">
        <v>2.71</v>
      </c>
      <c r="Q179">
        <v>0.41</v>
      </c>
      <c r="R179">
        <v>2.2999999999999998</v>
      </c>
      <c r="S179">
        <v>1.19</v>
      </c>
      <c r="T179">
        <v>1.1100000000000001</v>
      </c>
      <c r="U179" t="s">
        <v>54</v>
      </c>
      <c r="V179" t="s">
        <v>55</v>
      </c>
      <c r="W179">
        <v>3</v>
      </c>
      <c r="X179" s="25" t="s">
        <v>493</v>
      </c>
    </row>
    <row r="180" spans="1:24" x14ac:dyDescent="0.55000000000000004">
      <c r="A180" t="s">
        <v>308</v>
      </c>
      <c r="B180" s="24">
        <v>45483</v>
      </c>
      <c r="C180" t="s">
        <v>296</v>
      </c>
      <c r="D180" t="s">
        <v>34</v>
      </c>
      <c r="E180" t="s">
        <v>482</v>
      </c>
      <c r="F180" t="s">
        <v>483</v>
      </c>
      <c r="G180" t="s">
        <v>104</v>
      </c>
      <c r="H180" t="s">
        <v>105</v>
      </c>
      <c r="I180" t="s">
        <v>106</v>
      </c>
      <c r="J180" t="s">
        <v>39</v>
      </c>
      <c r="K180" t="s">
        <v>85</v>
      </c>
      <c r="L180" t="s">
        <v>66</v>
      </c>
      <c r="M180" t="s">
        <v>67</v>
      </c>
      <c r="N180">
        <v>1</v>
      </c>
      <c r="O180">
        <v>1.01</v>
      </c>
      <c r="P180">
        <v>1.01</v>
      </c>
      <c r="Q180">
        <v>0.05</v>
      </c>
      <c r="R180">
        <v>0.96</v>
      </c>
      <c r="S180">
        <v>0.38</v>
      </c>
      <c r="T180">
        <v>0.57999999999999996</v>
      </c>
      <c r="U180" t="s">
        <v>54</v>
      </c>
      <c r="V180" t="s">
        <v>55</v>
      </c>
      <c r="W180">
        <v>3</v>
      </c>
      <c r="X180" s="25" t="s">
        <v>490</v>
      </c>
    </row>
    <row r="181" spans="1:24" x14ac:dyDescent="0.55000000000000004">
      <c r="A181" t="s">
        <v>309</v>
      </c>
      <c r="B181" s="24">
        <v>45487</v>
      </c>
      <c r="C181" t="s">
        <v>296</v>
      </c>
      <c r="D181" t="s">
        <v>99</v>
      </c>
      <c r="E181" t="s">
        <v>488</v>
      </c>
      <c r="F181" t="s">
        <v>489</v>
      </c>
      <c r="G181" t="s">
        <v>131</v>
      </c>
      <c r="H181" t="s">
        <v>132</v>
      </c>
      <c r="I181" t="s">
        <v>133</v>
      </c>
      <c r="J181" t="s">
        <v>39</v>
      </c>
      <c r="K181" t="s">
        <v>134</v>
      </c>
      <c r="L181" t="s">
        <v>78</v>
      </c>
      <c r="M181" t="s">
        <v>97</v>
      </c>
      <c r="N181">
        <v>1</v>
      </c>
      <c r="O181">
        <v>3.3</v>
      </c>
      <c r="P181">
        <v>3.3</v>
      </c>
      <c r="Q181">
        <v>0.49</v>
      </c>
      <c r="R181">
        <v>2.81</v>
      </c>
      <c r="S181">
        <v>1.37</v>
      </c>
      <c r="T181">
        <v>1.44</v>
      </c>
      <c r="U181" t="s">
        <v>102</v>
      </c>
      <c r="V181" t="s">
        <v>73</v>
      </c>
      <c r="W181">
        <v>5</v>
      </c>
      <c r="X181" s="25" t="s">
        <v>493</v>
      </c>
    </row>
    <row r="182" spans="1:24" x14ac:dyDescent="0.55000000000000004">
      <c r="A182" t="s">
        <v>310</v>
      </c>
      <c r="B182" s="24">
        <v>45488</v>
      </c>
      <c r="C182" t="s">
        <v>296</v>
      </c>
      <c r="D182" t="s">
        <v>75</v>
      </c>
      <c r="E182" t="s">
        <v>486</v>
      </c>
      <c r="F182" t="s">
        <v>487</v>
      </c>
      <c r="G182" t="s">
        <v>89</v>
      </c>
      <c r="H182" t="s">
        <v>90</v>
      </c>
      <c r="I182" t="s">
        <v>91</v>
      </c>
      <c r="J182" t="s">
        <v>39</v>
      </c>
      <c r="K182" t="s">
        <v>92</v>
      </c>
      <c r="L182" t="s">
        <v>61</v>
      </c>
      <c r="M182" t="s">
        <v>161</v>
      </c>
      <c r="N182">
        <v>1</v>
      </c>
      <c r="O182">
        <v>11.2</v>
      </c>
      <c r="P182">
        <v>11.2</v>
      </c>
      <c r="Q182">
        <v>0</v>
      </c>
      <c r="R182">
        <v>11.2</v>
      </c>
      <c r="S182">
        <v>4.57</v>
      </c>
      <c r="T182">
        <v>6.63</v>
      </c>
      <c r="U182" t="s">
        <v>54</v>
      </c>
      <c r="V182" t="s">
        <v>87</v>
      </c>
      <c r="W182">
        <v>4</v>
      </c>
      <c r="X182" s="25" t="s">
        <v>490</v>
      </c>
    </row>
    <row r="183" spans="1:24" x14ac:dyDescent="0.55000000000000004">
      <c r="A183" t="s">
        <v>311</v>
      </c>
      <c r="B183" s="24">
        <v>45490</v>
      </c>
      <c r="C183" t="s">
        <v>296</v>
      </c>
      <c r="D183" t="s">
        <v>34</v>
      </c>
      <c r="E183" t="s">
        <v>484</v>
      </c>
      <c r="F183" t="s">
        <v>485</v>
      </c>
      <c r="G183" t="s">
        <v>82</v>
      </c>
      <c r="H183" t="s">
        <v>83</v>
      </c>
      <c r="I183" t="s">
        <v>84</v>
      </c>
      <c r="J183" t="s">
        <v>39</v>
      </c>
      <c r="K183" t="s">
        <v>85</v>
      </c>
      <c r="L183" t="s">
        <v>52</v>
      </c>
      <c r="M183" t="s">
        <v>169</v>
      </c>
      <c r="N183">
        <v>4</v>
      </c>
      <c r="O183">
        <v>3.08</v>
      </c>
      <c r="P183">
        <v>12.32</v>
      </c>
      <c r="Q183">
        <v>0.62</v>
      </c>
      <c r="R183">
        <v>11.7</v>
      </c>
      <c r="S183">
        <v>4.49</v>
      </c>
      <c r="T183">
        <v>7.21</v>
      </c>
      <c r="U183" t="s">
        <v>72</v>
      </c>
      <c r="V183" t="s">
        <v>44</v>
      </c>
      <c r="W183">
        <v>4</v>
      </c>
      <c r="X183" s="25" t="s">
        <v>490</v>
      </c>
    </row>
    <row r="184" spans="1:24" x14ac:dyDescent="0.55000000000000004">
      <c r="A184" t="s">
        <v>312</v>
      </c>
      <c r="B184" s="24">
        <v>45491</v>
      </c>
      <c r="C184" t="s">
        <v>296</v>
      </c>
      <c r="D184" t="s">
        <v>46</v>
      </c>
      <c r="E184" t="s">
        <v>484</v>
      </c>
      <c r="F184" t="s">
        <v>485</v>
      </c>
      <c r="G184" t="s">
        <v>163</v>
      </c>
      <c r="H184" t="s">
        <v>164</v>
      </c>
      <c r="I184" t="s">
        <v>165</v>
      </c>
      <c r="J184" t="s">
        <v>39</v>
      </c>
      <c r="K184" t="s">
        <v>85</v>
      </c>
      <c r="L184" t="s">
        <v>66</v>
      </c>
      <c r="M184" t="s">
        <v>107</v>
      </c>
      <c r="N184">
        <v>1</v>
      </c>
      <c r="O184">
        <v>3.89</v>
      </c>
      <c r="P184">
        <v>3.89</v>
      </c>
      <c r="Q184">
        <v>0</v>
      </c>
      <c r="R184">
        <v>3.89</v>
      </c>
      <c r="S184">
        <v>1.95</v>
      </c>
      <c r="T184">
        <v>1.94</v>
      </c>
      <c r="U184" t="s">
        <v>102</v>
      </c>
      <c r="V184" t="s">
        <v>44</v>
      </c>
      <c r="W184">
        <v>3</v>
      </c>
      <c r="X184" s="25" t="s">
        <v>490</v>
      </c>
    </row>
    <row r="185" spans="1:24" x14ac:dyDescent="0.55000000000000004">
      <c r="A185" t="s">
        <v>313</v>
      </c>
      <c r="B185" s="24">
        <v>45493</v>
      </c>
      <c r="C185" t="s">
        <v>296</v>
      </c>
      <c r="D185" t="s">
        <v>69</v>
      </c>
      <c r="E185" t="s">
        <v>486</v>
      </c>
      <c r="F185" t="s">
        <v>487</v>
      </c>
      <c r="G185" t="s">
        <v>82</v>
      </c>
      <c r="H185" t="s">
        <v>83</v>
      </c>
      <c r="I185" t="s">
        <v>84</v>
      </c>
      <c r="J185" t="s">
        <v>39</v>
      </c>
      <c r="K185" t="s">
        <v>85</v>
      </c>
      <c r="L185" t="s">
        <v>61</v>
      </c>
      <c r="M185" t="s">
        <v>62</v>
      </c>
      <c r="N185">
        <v>2</v>
      </c>
      <c r="O185">
        <v>10.78</v>
      </c>
      <c r="P185">
        <v>21.56</v>
      </c>
      <c r="Q185">
        <v>0</v>
      </c>
      <c r="R185">
        <v>21.56</v>
      </c>
      <c r="S185">
        <v>8.67</v>
      </c>
      <c r="T185">
        <v>12.89</v>
      </c>
      <c r="U185" t="s">
        <v>123</v>
      </c>
      <c r="V185" t="s">
        <v>63</v>
      </c>
      <c r="W185">
        <v>5</v>
      </c>
      <c r="X185" s="25" t="s">
        <v>490</v>
      </c>
    </row>
    <row r="186" spans="1:24" x14ac:dyDescent="0.55000000000000004">
      <c r="A186" t="s">
        <v>314</v>
      </c>
      <c r="B186" s="24">
        <v>45494</v>
      </c>
      <c r="C186" t="s">
        <v>296</v>
      </c>
      <c r="D186" t="s">
        <v>99</v>
      </c>
      <c r="E186" t="s">
        <v>482</v>
      </c>
      <c r="F186" t="s">
        <v>483</v>
      </c>
      <c r="G186" t="s">
        <v>104</v>
      </c>
      <c r="H186" t="s">
        <v>105</v>
      </c>
      <c r="I186" t="s">
        <v>106</v>
      </c>
      <c r="J186" t="s">
        <v>39</v>
      </c>
      <c r="K186" t="s">
        <v>85</v>
      </c>
      <c r="L186" t="s">
        <v>66</v>
      </c>
      <c r="M186" t="s">
        <v>67</v>
      </c>
      <c r="N186">
        <v>1</v>
      </c>
      <c r="O186">
        <v>0.99</v>
      </c>
      <c r="P186">
        <v>0.99</v>
      </c>
      <c r="Q186">
        <v>0.1</v>
      </c>
      <c r="R186">
        <v>0.89</v>
      </c>
      <c r="S186">
        <v>0.36</v>
      </c>
      <c r="T186">
        <v>0.53</v>
      </c>
      <c r="U186" t="s">
        <v>72</v>
      </c>
      <c r="V186" t="s">
        <v>73</v>
      </c>
      <c r="W186">
        <v>3</v>
      </c>
      <c r="X186" s="25" t="s">
        <v>491</v>
      </c>
    </row>
    <row r="187" spans="1:24" x14ac:dyDescent="0.55000000000000004">
      <c r="A187" t="s">
        <v>315</v>
      </c>
      <c r="B187" s="24">
        <v>45494</v>
      </c>
      <c r="C187" t="s">
        <v>296</v>
      </c>
      <c r="D187" t="s">
        <v>99</v>
      </c>
      <c r="E187" t="s">
        <v>486</v>
      </c>
      <c r="F187" t="s">
        <v>487</v>
      </c>
      <c r="G187" t="s">
        <v>163</v>
      </c>
      <c r="H187" t="s">
        <v>164</v>
      </c>
      <c r="I187" t="s">
        <v>165</v>
      </c>
      <c r="J187" t="s">
        <v>39</v>
      </c>
      <c r="K187" t="s">
        <v>85</v>
      </c>
      <c r="L187" t="s">
        <v>41</v>
      </c>
      <c r="M187" t="s">
        <v>42</v>
      </c>
      <c r="N187">
        <v>1</v>
      </c>
      <c r="O187">
        <v>4.6100000000000003</v>
      </c>
      <c r="P187">
        <v>4.6100000000000003</v>
      </c>
      <c r="Q187">
        <v>0</v>
      </c>
      <c r="R187">
        <v>4.6100000000000003</v>
      </c>
      <c r="S187">
        <v>2.4700000000000002</v>
      </c>
      <c r="T187">
        <v>2.14</v>
      </c>
      <c r="U187" t="s">
        <v>54</v>
      </c>
      <c r="V187" t="s">
        <v>55</v>
      </c>
      <c r="W187">
        <v>4</v>
      </c>
      <c r="X187" s="25" t="s">
        <v>490</v>
      </c>
    </row>
    <row r="188" spans="1:24" x14ac:dyDescent="0.55000000000000004">
      <c r="A188" t="s">
        <v>316</v>
      </c>
      <c r="B188" s="24">
        <v>45496</v>
      </c>
      <c r="C188" t="s">
        <v>296</v>
      </c>
      <c r="D188" t="s">
        <v>81</v>
      </c>
      <c r="E188" t="s">
        <v>484</v>
      </c>
      <c r="F188" t="s">
        <v>485</v>
      </c>
      <c r="G188" t="s">
        <v>89</v>
      </c>
      <c r="H188" t="s">
        <v>90</v>
      </c>
      <c r="I188" t="s">
        <v>91</v>
      </c>
      <c r="J188" t="s">
        <v>39</v>
      </c>
      <c r="K188" t="s">
        <v>92</v>
      </c>
      <c r="L188" t="s">
        <v>66</v>
      </c>
      <c r="M188" t="s">
        <v>107</v>
      </c>
      <c r="N188">
        <v>1</v>
      </c>
      <c r="O188">
        <v>3.9</v>
      </c>
      <c r="P188">
        <v>3.9</v>
      </c>
      <c r="Q188">
        <v>0</v>
      </c>
      <c r="R188">
        <v>3.9</v>
      </c>
      <c r="S188">
        <v>2.12</v>
      </c>
      <c r="T188">
        <v>1.78</v>
      </c>
      <c r="U188" t="s">
        <v>123</v>
      </c>
      <c r="V188" t="s">
        <v>144</v>
      </c>
      <c r="W188">
        <v>4</v>
      </c>
      <c r="X188" s="25" t="s">
        <v>490</v>
      </c>
    </row>
    <row r="189" spans="1:24" x14ac:dyDescent="0.55000000000000004">
      <c r="A189" t="s">
        <v>317</v>
      </c>
      <c r="B189" s="24">
        <v>45498</v>
      </c>
      <c r="C189" t="s">
        <v>296</v>
      </c>
      <c r="D189" t="s">
        <v>46</v>
      </c>
      <c r="E189" t="s">
        <v>484</v>
      </c>
      <c r="F189" t="s">
        <v>485</v>
      </c>
      <c r="G189" t="s">
        <v>163</v>
      </c>
      <c r="H189" t="s">
        <v>164</v>
      </c>
      <c r="I189" t="s">
        <v>165</v>
      </c>
      <c r="J189" t="s">
        <v>39</v>
      </c>
      <c r="K189" t="s">
        <v>85</v>
      </c>
      <c r="L189" t="s">
        <v>100</v>
      </c>
      <c r="M189" t="s">
        <v>111</v>
      </c>
      <c r="N189">
        <v>1</v>
      </c>
      <c r="O189">
        <v>6</v>
      </c>
      <c r="P189">
        <v>6</v>
      </c>
      <c r="Q189">
        <v>0</v>
      </c>
      <c r="R189">
        <v>6</v>
      </c>
      <c r="S189">
        <v>2.3199999999999998</v>
      </c>
      <c r="T189">
        <v>3.68</v>
      </c>
      <c r="U189" t="s">
        <v>72</v>
      </c>
      <c r="V189" t="s">
        <v>44</v>
      </c>
      <c r="W189">
        <v>4</v>
      </c>
      <c r="X189" s="25" t="s">
        <v>490</v>
      </c>
    </row>
    <row r="190" spans="1:24" x14ac:dyDescent="0.55000000000000004">
      <c r="A190" t="s">
        <v>318</v>
      </c>
      <c r="B190" s="24">
        <v>45499</v>
      </c>
      <c r="C190" t="s">
        <v>296</v>
      </c>
      <c r="D190" t="s">
        <v>57</v>
      </c>
      <c r="E190" t="s">
        <v>484</v>
      </c>
      <c r="F190" t="s">
        <v>485</v>
      </c>
      <c r="G190" t="s">
        <v>104</v>
      </c>
      <c r="H190" t="s">
        <v>105</v>
      </c>
      <c r="I190" t="s">
        <v>106</v>
      </c>
      <c r="J190" t="s">
        <v>39</v>
      </c>
      <c r="K190" t="s">
        <v>85</v>
      </c>
      <c r="L190" t="s">
        <v>66</v>
      </c>
      <c r="M190" t="s">
        <v>86</v>
      </c>
      <c r="N190">
        <v>3</v>
      </c>
      <c r="O190">
        <v>3.82</v>
      </c>
      <c r="P190">
        <v>11.46</v>
      </c>
      <c r="Q190">
        <v>1.1499999999999999</v>
      </c>
      <c r="R190">
        <v>10.31</v>
      </c>
      <c r="S190">
        <v>5.51</v>
      </c>
      <c r="T190">
        <v>4.8</v>
      </c>
      <c r="U190" t="s">
        <v>102</v>
      </c>
      <c r="V190" t="s">
        <v>63</v>
      </c>
      <c r="W190">
        <v>4</v>
      </c>
      <c r="X190" s="25" t="s">
        <v>491</v>
      </c>
    </row>
    <row r="191" spans="1:24" x14ac:dyDescent="0.55000000000000004">
      <c r="A191" t="s">
        <v>319</v>
      </c>
      <c r="B191" s="24">
        <v>45502</v>
      </c>
      <c r="C191" t="s">
        <v>296</v>
      </c>
      <c r="D191" t="s">
        <v>75</v>
      </c>
      <c r="E191" t="s">
        <v>488</v>
      </c>
      <c r="F191" t="s">
        <v>489</v>
      </c>
      <c r="G191" t="s">
        <v>104</v>
      </c>
      <c r="H191" t="s">
        <v>105</v>
      </c>
      <c r="I191" t="s">
        <v>106</v>
      </c>
      <c r="J191" t="s">
        <v>39</v>
      </c>
      <c r="K191" t="s">
        <v>85</v>
      </c>
      <c r="L191" t="s">
        <v>66</v>
      </c>
      <c r="M191" t="s">
        <v>86</v>
      </c>
      <c r="N191">
        <v>3</v>
      </c>
      <c r="O191">
        <v>3.71</v>
      </c>
      <c r="P191">
        <v>11.13</v>
      </c>
      <c r="Q191">
        <v>0</v>
      </c>
      <c r="R191">
        <v>11.13</v>
      </c>
      <c r="S191">
        <v>4.6100000000000003</v>
      </c>
      <c r="T191">
        <v>6.52</v>
      </c>
      <c r="U191" t="s">
        <v>93</v>
      </c>
      <c r="V191" t="s">
        <v>73</v>
      </c>
      <c r="W191">
        <v>4</v>
      </c>
      <c r="X191" s="25" t="s">
        <v>490</v>
      </c>
    </row>
    <row r="192" spans="1:24" x14ac:dyDescent="0.55000000000000004">
      <c r="A192" t="s">
        <v>320</v>
      </c>
      <c r="B192" s="24">
        <v>45502</v>
      </c>
      <c r="C192" t="s">
        <v>296</v>
      </c>
      <c r="D192" t="s">
        <v>75</v>
      </c>
      <c r="E192" t="s">
        <v>486</v>
      </c>
      <c r="F192" t="s">
        <v>487</v>
      </c>
      <c r="G192" t="s">
        <v>89</v>
      </c>
      <c r="H192" t="s">
        <v>90</v>
      </c>
      <c r="I192" t="s">
        <v>91</v>
      </c>
      <c r="J192" t="s">
        <v>39</v>
      </c>
      <c r="K192" t="s">
        <v>92</v>
      </c>
      <c r="L192" t="s">
        <v>78</v>
      </c>
      <c r="M192" t="s">
        <v>143</v>
      </c>
      <c r="N192">
        <v>1</v>
      </c>
      <c r="O192">
        <v>2.77</v>
      </c>
      <c r="P192">
        <v>2.77</v>
      </c>
      <c r="Q192">
        <v>0</v>
      </c>
      <c r="R192">
        <v>2.77</v>
      </c>
      <c r="S192">
        <v>1.33</v>
      </c>
      <c r="T192">
        <v>1.44</v>
      </c>
      <c r="U192" t="s">
        <v>43</v>
      </c>
      <c r="V192" t="s">
        <v>44</v>
      </c>
      <c r="W192">
        <v>5</v>
      </c>
      <c r="X192" s="25" t="s">
        <v>490</v>
      </c>
    </row>
    <row r="193" spans="1:24" x14ac:dyDescent="0.55000000000000004">
      <c r="A193" t="s">
        <v>321</v>
      </c>
      <c r="B193" s="24">
        <v>45502</v>
      </c>
      <c r="C193" t="s">
        <v>296</v>
      </c>
      <c r="D193" t="s">
        <v>75</v>
      </c>
      <c r="E193" t="s">
        <v>488</v>
      </c>
      <c r="F193" t="s">
        <v>489</v>
      </c>
      <c r="G193" t="s">
        <v>131</v>
      </c>
      <c r="H193" t="s">
        <v>132</v>
      </c>
      <c r="I193" t="s">
        <v>133</v>
      </c>
      <c r="J193" t="s">
        <v>39</v>
      </c>
      <c r="K193" t="s">
        <v>134</v>
      </c>
      <c r="L193" t="s">
        <v>52</v>
      </c>
      <c r="M193" t="s">
        <v>53</v>
      </c>
      <c r="N193">
        <v>4</v>
      </c>
      <c r="O193">
        <v>2.4300000000000002</v>
      </c>
      <c r="P193">
        <v>9.7200000000000006</v>
      </c>
      <c r="Q193">
        <v>0</v>
      </c>
      <c r="R193">
        <v>9.7200000000000006</v>
      </c>
      <c r="S193">
        <v>4.8600000000000003</v>
      </c>
      <c r="T193">
        <v>4.8600000000000003</v>
      </c>
      <c r="U193" t="s">
        <v>43</v>
      </c>
      <c r="V193" t="s">
        <v>73</v>
      </c>
      <c r="W193">
        <v>4</v>
      </c>
      <c r="X193" s="25" t="s">
        <v>490</v>
      </c>
    </row>
    <row r="194" spans="1:24" x14ac:dyDescent="0.55000000000000004">
      <c r="A194" t="s">
        <v>322</v>
      </c>
      <c r="B194" s="24">
        <v>45503</v>
      </c>
      <c r="C194" t="s">
        <v>296</v>
      </c>
      <c r="D194" t="s">
        <v>81</v>
      </c>
      <c r="E194" t="s">
        <v>482</v>
      </c>
      <c r="F194" t="s">
        <v>483</v>
      </c>
      <c r="G194" t="s">
        <v>104</v>
      </c>
      <c r="H194" t="s">
        <v>105</v>
      </c>
      <c r="I194" t="s">
        <v>106</v>
      </c>
      <c r="J194" t="s">
        <v>39</v>
      </c>
      <c r="K194" t="s">
        <v>85</v>
      </c>
      <c r="L194" t="s">
        <v>41</v>
      </c>
      <c r="M194" t="s">
        <v>109</v>
      </c>
      <c r="N194">
        <v>5</v>
      </c>
      <c r="O194">
        <v>2.4700000000000002</v>
      </c>
      <c r="P194">
        <v>12.35</v>
      </c>
      <c r="Q194">
        <v>2.4700000000000002</v>
      </c>
      <c r="R194">
        <v>9.8800000000000008</v>
      </c>
      <c r="S194">
        <v>5.22</v>
      </c>
      <c r="T194">
        <v>4.66</v>
      </c>
      <c r="U194" t="s">
        <v>72</v>
      </c>
      <c r="V194" t="s">
        <v>44</v>
      </c>
      <c r="W194">
        <v>5</v>
      </c>
      <c r="X194" s="25" t="s">
        <v>492</v>
      </c>
    </row>
    <row r="195" spans="1:24" x14ac:dyDescent="0.55000000000000004">
      <c r="A195" t="s">
        <v>323</v>
      </c>
      <c r="B195" s="24">
        <v>45503</v>
      </c>
      <c r="C195" t="s">
        <v>296</v>
      </c>
      <c r="D195" t="s">
        <v>81</v>
      </c>
      <c r="E195" t="s">
        <v>482</v>
      </c>
      <c r="F195" t="s">
        <v>483</v>
      </c>
      <c r="G195" t="s">
        <v>104</v>
      </c>
      <c r="H195" t="s">
        <v>105</v>
      </c>
      <c r="I195" t="s">
        <v>106</v>
      </c>
      <c r="J195" t="s">
        <v>39</v>
      </c>
      <c r="K195" t="s">
        <v>85</v>
      </c>
      <c r="L195" t="s">
        <v>61</v>
      </c>
      <c r="M195" t="s">
        <v>121</v>
      </c>
      <c r="N195">
        <v>3</v>
      </c>
      <c r="O195">
        <v>9.2100000000000009</v>
      </c>
      <c r="P195">
        <v>27.63</v>
      </c>
      <c r="Q195">
        <v>1.38</v>
      </c>
      <c r="R195">
        <v>26.25</v>
      </c>
      <c r="S195">
        <v>12.25</v>
      </c>
      <c r="T195">
        <v>14</v>
      </c>
      <c r="U195" t="s">
        <v>54</v>
      </c>
      <c r="V195" t="s">
        <v>63</v>
      </c>
      <c r="W195">
        <v>3</v>
      </c>
      <c r="X195" s="25" t="s">
        <v>490</v>
      </c>
    </row>
    <row r="196" spans="1:24" x14ac:dyDescent="0.55000000000000004">
      <c r="A196" t="s">
        <v>324</v>
      </c>
      <c r="B196" s="24">
        <v>45505</v>
      </c>
      <c r="C196" t="s">
        <v>296</v>
      </c>
      <c r="D196" t="s">
        <v>46</v>
      </c>
      <c r="E196" t="s">
        <v>484</v>
      </c>
      <c r="F196" t="s">
        <v>485</v>
      </c>
      <c r="G196" t="s">
        <v>76</v>
      </c>
      <c r="H196" t="s">
        <v>77</v>
      </c>
      <c r="I196" t="s">
        <v>38</v>
      </c>
      <c r="J196" t="s">
        <v>39</v>
      </c>
      <c r="K196" t="s">
        <v>40</v>
      </c>
      <c r="L196" t="s">
        <v>52</v>
      </c>
      <c r="M196" t="s">
        <v>135</v>
      </c>
      <c r="N196">
        <v>2</v>
      </c>
      <c r="O196">
        <v>1.97</v>
      </c>
      <c r="P196">
        <v>3.94</v>
      </c>
      <c r="Q196">
        <v>0.79</v>
      </c>
      <c r="R196">
        <v>3.15</v>
      </c>
      <c r="S196">
        <v>1.45</v>
      </c>
      <c r="T196">
        <v>1.7</v>
      </c>
      <c r="U196" t="s">
        <v>43</v>
      </c>
      <c r="V196" t="s">
        <v>87</v>
      </c>
      <c r="W196">
        <v>4</v>
      </c>
      <c r="X196" s="25" t="s">
        <v>492</v>
      </c>
    </row>
    <row r="197" spans="1:24" x14ac:dyDescent="0.55000000000000004">
      <c r="A197" t="s">
        <v>325</v>
      </c>
      <c r="B197" s="24">
        <v>45505</v>
      </c>
      <c r="C197" t="s">
        <v>296</v>
      </c>
      <c r="D197" t="s">
        <v>46</v>
      </c>
      <c r="E197" t="s">
        <v>482</v>
      </c>
      <c r="F197" t="s">
        <v>483</v>
      </c>
      <c r="G197" t="s">
        <v>131</v>
      </c>
      <c r="H197" t="s">
        <v>132</v>
      </c>
      <c r="I197" t="s">
        <v>133</v>
      </c>
      <c r="J197" t="s">
        <v>39</v>
      </c>
      <c r="K197" t="s">
        <v>134</v>
      </c>
      <c r="L197" t="s">
        <v>61</v>
      </c>
      <c r="M197" t="s">
        <v>121</v>
      </c>
      <c r="N197">
        <v>3</v>
      </c>
      <c r="O197">
        <v>9.42</v>
      </c>
      <c r="P197">
        <v>28.26</v>
      </c>
      <c r="Q197">
        <v>4.24</v>
      </c>
      <c r="R197">
        <v>24.02</v>
      </c>
      <c r="S197">
        <v>9.84</v>
      </c>
      <c r="T197">
        <v>14.18</v>
      </c>
      <c r="U197" t="s">
        <v>43</v>
      </c>
      <c r="V197" t="s">
        <v>63</v>
      </c>
      <c r="W197">
        <v>4</v>
      </c>
      <c r="X197" s="25" t="s">
        <v>493</v>
      </c>
    </row>
    <row r="198" spans="1:24" x14ac:dyDescent="0.55000000000000004">
      <c r="A198" t="s">
        <v>326</v>
      </c>
      <c r="B198" s="24">
        <v>45506</v>
      </c>
      <c r="C198" t="s">
        <v>296</v>
      </c>
      <c r="D198" t="s">
        <v>57</v>
      </c>
      <c r="E198" t="s">
        <v>486</v>
      </c>
      <c r="F198" t="s">
        <v>487</v>
      </c>
      <c r="G198" t="s">
        <v>76</v>
      </c>
      <c r="H198" t="s">
        <v>77</v>
      </c>
      <c r="I198" t="s">
        <v>38</v>
      </c>
      <c r="J198" t="s">
        <v>39</v>
      </c>
      <c r="K198" t="s">
        <v>40</v>
      </c>
      <c r="L198" t="s">
        <v>78</v>
      </c>
      <c r="M198" t="s">
        <v>141</v>
      </c>
      <c r="N198">
        <v>4</v>
      </c>
      <c r="O198">
        <v>6.43</v>
      </c>
      <c r="P198">
        <v>25.72</v>
      </c>
      <c r="Q198">
        <v>0</v>
      </c>
      <c r="R198">
        <v>25.72</v>
      </c>
      <c r="S198">
        <v>13.27</v>
      </c>
      <c r="T198">
        <v>12.45</v>
      </c>
      <c r="U198" t="s">
        <v>43</v>
      </c>
      <c r="V198" t="s">
        <v>73</v>
      </c>
      <c r="W198">
        <v>3</v>
      </c>
      <c r="X198" s="25" t="s">
        <v>490</v>
      </c>
    </row>
    <row r="199" spans="1:24" x14ac:dyDescent="0.55000000000000004">
      <c r="A199" t="s">
        <v>327</v>
      </c>
      <c r="B199" s="24">
        <v>45506</v>
      </c>
      <c r="C199" t="s">
        <v>296</v>
      </c>
      <c r="D199" t="s">
        <v>57</v>
      </c>
      <c r="E199" t="s">
        <v>488</v>
      </c>
      <c r="F199" t="s">
        <v>489</v>
      </c>
      <c r="G199" t="s">
        <v>36</v>
      </c>
      <c r="H199" t="s">
        <v>37</v>
      </c>
      <c r="I199" t="s">
        <v>38</v>
      </c>
      <c r="J199" t="s">
        <v>39</v>
      </c>
      <c r="K199" t="s">
        <v>40</v>
      </c>
      <c r="L199" t="s">
        <v>66</v>
      </c>
      <c r="M199" t="s">
        <v>86</v>
      </c>
      <c r="N199">
        <v>2</v>
      </c>
      <c r="O199">
        <v>3.84</v>
      </c>
      <c r="P199">
        <v>7.68</v>
      </c>
      <c r="Q199">
        <v>0</v>
      </c>
      <c r="R199">
        <v>7.68</v>
      </c>
      <c r="S199">
        <v>2.81</v>
      </c>
      <c r="T199">
        <v>4.87</v>
      </c>
      <c r="U199" t="s">
        <v>123</v>
      </c>
      <c r="V199" t="s">
        <v>144</v>
      </c>
      <c r="W199">
        <v>5</v>
      </c>
      <c r="X199" s="25" t="s">
        <v>490</v>
      </c>
    </row>
    <row r="200" spans="1:24" x14ac:dyDescent="0.55000000000000004">
      <c r="A200" t="s">
        <v>328</v>
      </c>
      <c r="B200" s="24">
        <v>45508</v>
      </c>
      <c r="C200" t="s">
        <v>296</v>
      </c>
      <c r="D200" t="s">
        <v>99</v>
      </c>
      <c r="E200" t="s">
        <v>484</v>
      </c>
      <c r="F200" t="s">
        <v>485</v>
      </c>
      <c r="G200" t="s">
        <v>114</v>
      </c>
      <c r="H200" t="s">
        <v>115</v>
      </c>
      <c r="I200" t="s">
        <v>116</v>
      </c>
      <c r="J200" t="s">
        <v>39</v>
      </c>
      <c r="K200" t="s">
        <v>51</v>
      </c>
      <c r="L200" t="s">
        <v>66</v>
      </c>
      <c r="M200" t="s">
        <v>183</v>
      </c>
      <c r="N200">
        <v>1</v>
      </c>
      <c r="O200">
        <v>1.49</v>
      </c>
      <c r="P200">
        <v>1.49</v>
      </c>
      <c r="Q200">
        <v>7.0000000000000007E-2</v>
      </c>
      <c r="R200">
        <v>1.42</v>
      </c>
      <c r="S200">
        <v>0.73</v>
      </c>
      <c r="T200">
        <v>0.69</v>
      </c>
      <c r="U200" t="s">
        <v>72</v>
      </c>
      <c r="V200" t="s">
        <v>87</v>
      </c>
      <c r="W200">
        <v>1</v>
      </c>
      <c r="X200" s="25" t="s">
        <v>490</v>
      </c>
    </row>
    <row r="201" spans="1:24" x14ac:dyDescent="0.55000000000000004">
      <c r="A201" t="s">
        <v>329</v>
      </c>
      <c r="B201" s="24">
        <v>45511</v>
      </c>
      <c r="C201" t="s">
        <v>296</v>
      </c>
      <c r="D201" t="s">
        <v>34</v>
      </c>
      <c r="E201" t="s">
        <v>486</v>
      </c>
      <c r="F201" t="s">
        <v>487</v>
      </c>
      <c r="G201" t="s">
        <v>163</v>
      </c>
      <c r="H201" t="s">
        <v>164</v>
      </c>
      <c r="I201" t="s">
        <v>165</v>
      </c>
      <c r="J201" t="s">
        <v>39</v>
      </c>
      <c r="K201" t="s">
        <v>85</v>
      </c>
      <c r="L201" t="s">
        <v>41</v>
      </c>
      <c r="M201" t="s">
        <v>109</v>
      </c>
      <c r="N201">
        <v>1</v>
      </c>
      <c r="O201">
        <v>2.4300000000000002</v>
      </c>
      <c r="P201">
        <v>2.4300000000000002</v>
      </c>
      <c r="Q201">
        <v>0.12</v>
      </c>
      <c r="R201">
        <v>2.31</v>
      </c>
      <c r="S201">
        <v>1.0900000000000001</v>
      </c>
      <c r="T201">
        <v>1.22</v>
      </c>
      <c r="U201" t="s">
        <v>43</v>
      </c>
      <c r="V201" t="s">
        <v>55</v>
      </c>
      <c r="W201">
        <v>1</v>
      </c>
      <c r="X201" s="25" t="s">
        <v>490</v>
      </c>
    </row>
    <row r="202" spans="1:24" x14ac:dyDescent="0.55000000000000004">
      <c r="A202" t="s">
        <v>330</v>
      </c>
      <c r="B202" s="24">
        <v>45511</v>
      </c>
      <c r="C202" t="s">
        <v>296</v>
      </c>
      <c r="D202" t="s">
        <v>34</v>
      </c>
      <c r="E202" t="s">
        <v>482</v>
      </c>
      <c r="F202" t="s">
        <v>483</v>
      </c>
      <c r="G202" t="s">
        <v>36</v>
      </c>
      <c r="H202" t="s">
        <v>37</v>
      </c>
      <c r="I202" t="s">
        <v>38</v>
      </c>
      <c r="J202" t="s">
        <v>39</v>
      </c>
      <c r="K202" t="s">
        <v>40</v>
      </c>
      <c r="L202" t="s">
        <v>52</v>
      </c>
      <c r="M202" t="s">
        <v>180</v>
      </c>
      <c r="N202">
        <v>4</v>
      </c>
      <c r="O202">
        <v>3.74</v>
      </c>
      <c r="P202">
        <v>14.96</v>
      </c>
      <c r="Q202">
        <v>2.2400000000000002</v>
      </c>
      <c r="R202">
        <v>12.72</v>
      </c>
      <c r="S202">
        <v>6.68</v>
      </c>
      <c r="T202">
        <v>6.04</v>
      </c>
      <c r="U202" t="s">
        <v>102</v>
      </c>
      <c r="V202" t="s">
        <v>73</v>
      </c>
      <c r="W202">
        <v>4</v>
      </c>
      <c r="X202" s="25" t="s">
        <v>493</v>
      </c>
    </row>
    <row r="203" spans="1:24" x14ac:dyDescent="0.55000000000000004">
      <c r="A203" t="s">
        <v>331</v>
      </c>
      <c r="B203" s="24">
        <v>45512</v>
      </c>
      <c r="C203" t="s">
        <v>296</v>
      </c>
      <c r="D203" t="s">
        <v>46</v>
      </c>
      <c r="E203" t="s">
        <v>486</v>
      </c>
      <c r="F203" t="s">
        <v>487</v>
      </c>
      <c r="G203" t="s">
        <v>76</v>
      </c>
      <c r="H203" t="s">
        <v>77</v>
      </c>
      <c r="I203" t="s">
        <v>38</v>
      </c>
      <c r="J203" t="s">
        <v>39</v>
      </c>
      <c r="K203" t="s">
        <v>40</v>
      </c>
      <c r="L203" t="s">
        <v>100</v>
      </c>
      <c r="M203" t="s">
        <v>101</v>
      </c>
      <c r="N203">
        <v>1</v>
      </c>
      <c r="O203">
        <v>3.58</v>
      </c>
      <c r="P203">
        <v>3.58</v>
      </c>
      <c r="Q203">
        <v>0.72</v>
      </c>
      <c r="R203">
        <v>2.86</v>
      </c>
      <c r="S203">
        <v>1.02</v>
      </c>
      <c r="T203">
        <v>1.84</v>
      </c>
      <c r="U203" t="s">
        <v>123</v>
      </c>
      <c r="V203" t="s">
        <v>44</v>
      </c>
      <c r="W203">
        <v>4</v>
      </c>
      <c r="X203" s="25" t="s">
        <v>492</v>
      </c>
    </row>
    <row r="204" spans="1:24" x14ac:dyDescent="0.55000000000000004">
      <c r="A204" t="s">
        <v>332</v>
      </c>
      <c r="B204" s="24">
        <v>45512</v>
      </c>
      <c r="C204" t="s">
        <v>296</v>
      </c>
      <c r="D204" t="s">
        <v>46</v>
      </c>
      <c r="E204" t="s">
        <v>482</v>
      </c>
      <c r="F204" t="s">
        <v>483</v>
      </c>
      <c r="G204" t="s">
        <v>131</v>
      </c>
      <c r="H204" t="s">
        <v>132</v>
      </c>
      <c r="I204" t="s">
        <v>133</v>
      </c>
      <c r="J204" t="s">
        <v>39</v>
      </c>
      <c r="K204" t="s">
        <v>134</v>
      </c>
      <c r="L204" t="s">
        <v>41</v>
      </c>
      <c r="M204" t="s">
        <v>42</v>
      </c>
      <c r="N204">
        <v>1</v>
      </c>
      <c r="O204">
        <v>4.6100000000000003</v>
      </c>
      <c r="P204">
        <v>4.6100000000000003</v>
      </c>
      <c r="Q204">
        <v>0</v>
      </c>
      <c r="R204">
        <v>4.6100000000000003</v>
      </c>
      <c r="S204">
        <v>1.9</v>
      </c>
      <c r="T204">
        <v>2.71</v>
      </c>
      <c r="U204" t="s">
        <v>72</v>
      </c>
      <c r="V204" t="s">
        <v>55</v>
      </c>
      <c r="W204">
        <v>5</v>
      </c>
      <c r="X204" s="25" t="s">
        <v>490</v>
      </c>
    </row>
    <row r="205" spans="1:24" x14ac:dyDescent="0.55000000000000004">
      <c r="A205" t="s">
        <v>333</v>
      </c>
      <c r="B205" s="24">
        <v>45514</v>
      </c>
      <c r="C205" t="s">
        <v>296</v>
      </c>
      <c r="D205" t="s">
        <v>69</v>
      </c>
      <c r="E205" t="s">
        <v>482</v>
      </c>
      <c r="F205" t="s">
        <v>483</v>
      </c>
      <c r="G205" t="s">
        <v>76</v>
      </c>
      <c r="H205" t="s">
        <v>77</v>
      </c>
      <c r="I205" t="s">
        <v>38</v>
      </c>
      <c r="J205" t="s">
        <v>39</v>
      </c>
      <c r="K205" t="s">
        <v>40</v>
      </c>
      <c r="L205" t="s">
        <v>66</v>
      </c>
      <c r="M205" t="s">
        <v>183</v>
      </c>
      <c r="N205">
        <v>1</v>
      </c>
      <c r="O205">
        <v>1.46</v>
      </c>
      <c r="P205">
        <v>1.46</v>
      </c>
      <c r="Q205">
        <v>0.22</v>
      </c>
      <c r="R205">
        <v>1.24</v>
      </c>
      <c r="S205">
        <v>0.66</v>
      </c>
      <c r="T205">
        <v>0.57999999999999996</v>
      </c>
      <c r="U205" t="s">
        <v>72</v>
      </c>
      <c r="V205" t="s">
        <v>144</v>
      </c>
      <c r="W205">
        <v>3</v>
      </c>
      <c r="X205" s="25" t="s">
        <v>493</v>
      </c>
    </row>
    <row r="206" spans="1:24" x14ac:dyDescent="0.55000000000000004">
      <c r="A206" t="s">
        <v>334</v>
      </c>
      <c r="B206" s="24">
        <v>45516</v>
      </c>
      <c r="C206" t="s">
        <v>296</v>
      </c>
      <c r="D206" t="s">
        <v>75</v>
      </c>
      <c r="E206" t="s">
        <v>488</v>
      </c>
      <c r="F206" t="s">
        <v>489</v>
      </c>
      <c r="G206" t="s">
        <v>131</v>
      </c>
      <c r="H206" t="s">
        <v>132</v>
      </c>
      <c r="I206" t="s">
        <v>133</v>
      </c>
      <c r="J206" t="s">
        <v>39</v>
      </c>
      <c r="K206" t="s">
        <v>134</v>
      </c>
      <c r="L206" t="s">
        <v>66</v>
      </c>
      <c r="M206" t="s">
        <v>107</v>
      </c>
      <c r="N206">
        <v>1</v>
      </c>
      <c r="O206">
        <v>3.75</v>
      </c>
      <c r="P206">
        <v>3.75</v>
      </c>
      <c r="Q206">
        <v>0</v>
      </c>
      <c r="R206">
        <v>3.75</v>
      </c>
      <c r="S206">
        <v>1.61</v>
      </c>
      <c r="T206">
        <v>2.14</v>
      </c>
      <c r="U206" t="s">
        <v>72</v>
      </c>
      <c r="V206" t="s">
        <v>55</v>
      </c>
      <c r="W206">
        <v>5</v>
      </c>
      <c r="X206" s="25" t="s">
        <v>490</v>
      </c>
    </row>
    <row r="207" spans="1:24" x14ac:dyDescent="0.55000000000000004">
      <c r="A207" t="s">
        <v>335</v>
      </c>
      <c r="B207" s="24">
        <v>45517</v>
      </c>
      <c r="C207" t="s">
        <v>296</v>
      </c>
      <c r="D207" t="s">
        <v>81</v>
      </c>
      <c r="E207" t="s">
        <v>486</v>
      </c>
      <c r="F207" t="s">
        <v>487</v>
      </c>
      <c r="G207" t="s">
        <v>163</v>
      </c>
      <c r="H207" t="s">
        <v>164</v>
      </c>
      <c r="I207" t="s">
        <v>165</v>
      </c>
      <c r="J207" t="s">
        <v>39</v>
      </c>
      <c r="K207" t="s">
        <v>85</v>
      </c>
      <c r="L207" t="s">
        <v>78</v>
      </c>
      <c r="M207" t="s">
        <v>79</v>
      </c>
      <c r="N207">
        <v>2</v>
      </c>
      <c r="O207">
        <v>3.43</v>
      </c>
      <c r="P207">
        <v>6.86</v>
      </c>
      <c r="Q207">
        <v>0.34</v>
      </c>
      <c r="R207">
        <v>6.52</v>
      </c>
      <c r="S207">
        <v>3.08</v>
      </c>
      <c r="T207">
        <v>3.44</v>
      </c>
      <c r="U207" t="s">
        <v>72</v>
      </c>
      <c r="V207" t="s">
        <v>73</v>
      </c>
      <c r="W207">
        <v>2</v>
      </c>
      <c r="X207" s="25" t="s">
        <v>490</v>
      </c>
    </row>
    <row r="208" spans="1:24" x14ac:dyDescent="0.55000000000000004">
      <c r="A208" t="s">
        <v>336</v>
      </c>
      <c r="B208" s="24">
        <v>45518</v>
      </c>
      <c r="C208" t="s">
        <v>296</v>
      </c>
      <c r="D208" t="s">
        <v>34</v>
      </c>
      <c r="E208" t="s">
        <v>482</v>
      </c>
      <c r="F208" t="s">
        <v>483</v>
      </c>
      <c r="G208" t="s">
        <v>48</v>
      </c>
      <c r="H208" t="s">
        <v>49</v>
      </c>
      <c r="I208" t="s">
        <v>50</v>
      </c>
      <c r="J208" t="s">
        <v>39</v>
      </c>
      <c r="K208" t="s">
        <v>51</v>
      </c>
      <c r="L208" t="s">
        <v>52</v>
      </c>
      <c r="M208" t="s">
        <v>180</v>
      </c>
      <c r="N208">
        <v>2</v>
      </c>
      <c r="O208">
        <v>3.86</v>
      </c>
      <c r="P208">
        <v>7.72</v>
      </c>
      <c r="Q208">
        <v>1.54</v>
      </c>
      <c r="R208">
        <v>6.18</v>
      </c>
      <c r="S208">
        <v>3.07</v>
      </c>
      <c r="T208">
        <v>3.11</v>
      </c>
      <c r="U208" t="s">
        <v>54</v>
      </c>
      <c r="V208" t="s">
        <v>144</v>
      </c>
      <c r="W208">
        <v>4</v>
      </c>
      <c r="X208" s="25" t="s">
        <v>492</v>
      </c>
    </row>
    <row r="209" spans="1:24" x14ac:dyDescent="0.55000000000000004">
      <c r="A209" t="s">
        <v>337</v>
      </c>
      <c r="B209" s="24">
        <v>45518</v>
      </c>
      <c r="C209" t="s">
        <v>296</v>
      </c>
      <c r="D209" t="s">
        <v>34</v>
      </c>
      <c r="E209" t="s">
        <v>488</v>
      </c>
      <c r="F209" t="s">
        <v>489</v>
      </c>
      <c r="G209" t="s">
        <v>114</v>
      </c>
      <c r="H209" t="s">
        <v>115</v>
      </c>
      <c r="I209" t="s">
        <v>116</v>
      </c>
      <c r="J209" t="s">
        <v>39</v>
      </c>
      <c r="K209" t="s">
        <v>51</v>
      </c>
      <c r="L209" t="s">
        <v>66</v>
      </c>
      <c r="M209" t="s">
        <v>86</v>
      </c>
      <c r="N209">
        <v>3</v>
      </c>
      <c r="O209">
        <v>3.7</v>
      </c>
      <c r="P209">
        <v>11.1</v>
      </c>
      <c r="Q209">
        <v>0</v>
      </c>
      <c r="R209">
        <v>11.1</v>
      </c>
      <c r="S209">
        <v>4.51</v>
      </c>
      <c r="T209">
        <v>6.59</v>
      </c>
      <c r="U209" t="s">
        <v>54</v>
      </c>
      <c r="V209" t="s">
        <v>87</v>
      </c>
      <c r="W209">
        <v>4</v>
      </c>
      <c r="X209" s="25" t="s">
        <v>490</v>
      </c>
    </row>
    <row r="210" spans="1:24" x14ac:dyDescent="0.55000000000000004">
      <c r="A210" t="s">
        <v>338</v>
      </c>
      <c r="B210" s="24">
        <v>45519</v>
      </c>
      <c r="C210" t="s">
        <v>296</v>
      </c>
      <c r="D210" t="s">
        <v>46</v>
      </c>
      <c r="E210" t="s">
        <v>482</v>
      </c>
      <c r="F210" t="s">
        <v>483</v>
      </c>
      <c r="G210" t="s">
        <v>82</v>
      </c>
      <c r="H210" t="s">
        <v>83</v>
      </c>
      <c r="I210" t="s">
        <v>84</v>
      </c>
      <c r="J210" t="s">
        <v>39</v>
      </c>
      <c r="K210" t="s">
        <v>85</v>
      </c>
      <c r="L210" t="s">
        <v>100</v>
      </c>
      <c r="M210" t="s">
        <v>101</v>
      </c>
      <c r="N210">
        <v>2</v>
      </c>
      <c r="O210">
        <v>3.4</v>
      </c>
      <c r="P210">
        <v>6.8</v>
      </c>
      <c r="Q210">
        <v>0</v>
      </c>
      <c r="R210">
        <v>6.8</v>
      </c>
      <c r="S210">
        <v>3.24</v>
      </c>
      <c r="T210">
        <v>3.56</v>
      </c>
      <c r="U210" t="s">
        <v>43</v>
      </c>
      <c r="V210" t="s">
        <v>73</v>
      </c>
      <c r="W210">
        <v>4</v>
      </c>
      <c r="X210" s="25" t="s">
        <v>490</v>
      </c>
    </row>
    <row r="211" spans="1:24" x14ac:dyDescent="0.55000000000000004">
      <c r="A211" t="s">
        <v>339</v>
      </c>
      <c r="B211" s="24">
        <v>45520</v>
      </c>
      <c r="C211" t="s">
        <v>296</v>
      </c>
      <c r="D211" t="s">
        <v>57</v>
      </c>
      <c r="E211" t="s">
        <v>482</v>
      </c>
      <c r="F211" t="s">
        <v>483</v>
      </c>
      <c r="G211" t="s">
        <v>76</v>
      </c>
      <c r="H211" t="s">
        <v>77</v>
      </c>
      <c r="I211" t="s">
        <v>38</v>
      </c>
      <c r="J211" t="s">
        <v>39</v>
      </c>
      <c r="K211" t="s">
        <v>40</v>
      </c>
      <c r="L211" t="s">
        <v>78</v>
      </c>
      <c r="M211" t="s">
        <v>97</v>
      </c>
      <c r="N211">
        <v>2</v>
      </c>
      <c r="O211">
        <v>3.26</v>
      </c>
      <c r="P211">
        <v>6.52</v>
      </c>
      <c r="Q211">
        <v>0.65</v>
      </c>
      <c r="R211">
        <v>5.87</v>
      </c>
      <c r="S211">
        <v>2.36</v>
      </c>
      <c r="T211">
        <v>3.51</v>
      </c>
      <c r="U211" t="s">
        <v>54</v>
      </c>
      <c r="V211" t="s">
        <v>144</v>
      </c>
      <c r="W211">
        <v>1</v>
      </c>
      <c r="X211" s="25" t="s">
        <v>491</v>
      </c>
    </row>
    <row r="212" spans="1:24" x14ac:dyDescent="0.55000000000000004">
      <c r="A212" t="s">
        <v>340</v>
      </c>
      <c r="B212" s="24">
        <v>45520</v>
      </c>
      <c r="C212" t="s">
        <v>296</v>
      </c>
      <c r="D212" t="s">
        <v>57</v>
      </c>
      <c r="E212" t="s">
        <v>488</v>
      </c>
      <c r="F212" t="s">
        <v>489</v>
      </c>
      <c r="G212" t="s">
        <v>131</v>
      </c>
      <c r="H212" t="s">
        <v>132</v>
      </c>
      <c r="I212" t="s">
        <v>133</v>
      </c>
      <c r="J212" t="s">
        <v>39</v>
      </c>
      <c r="K212" t="s">
        <v>134</v>
      </c>
      <c r="L212" t="s">
        <v>52</v>
      </c>
      <c r="M212" t="s">
        <v>53</v>
      </c>
      <c r="N212">
        <v>1</v>
      </c>
      <c r="O212">
        <v>2.48</v>
      </c>
      <c r="P212">
        <v>2.48</v>
      </c>
      <c r="Q212">
        <v>0</v>
      </c>
      <c r="R212">
        <v>2.48</v>
      </c>
      <c r="S212">
        <v>1.23</v>
      </c>
      <c r="T212">
        <v>1.25</v>
      </c>
      <c r="U212" t="s">
        <v>123</v>
      </c>
      <c r="V212" t="s">
        <v>87</v>
      </c>
      <c r="W212">
        <v>4</v>
      </c>
      <c r="X212" s="25" t="s">
        <v>490</v>
      </c>
    </row>
    <row r="213" spans="1:24" x14ac:dyDescent="0.55000000000000004">
      <c r="A213" t="s">
        <v>341</v>
      </c>
      <c r="B213" s="24">
        <v>45521</v>
      </c>
      <c r="C213" t="s">
        <v>296</v>
      </c>
      <c r="D213" t="s">
        <v>69</v>
      </c>
      <c r="E213" t="s">
        <v>484</v>
      </c>
      <c r="F213" t="s">
        <v>485</v>
      </c>
      <c r="G213" t="s">
        <v>89</v>
      </c>
      <c r="H213" t="s">
        <v>90</v>
      </c>
      <c r="I213" t="s">
        <v>91</v>
      </c>
      <c r="J213" t="s">
        <v>39</v>
      </c>
      <c r="K213" t="s">
        <v>92</v>
      </c>
      <c r="L213" t="s">
        <v>61</v>
      </c>
      <c r="M213" t="s">
        <v>119</v>
      </c>
      <c r="N213">
        <v>1</v>
      </c>
      <c r="O213">
        <v>6.82</v>
      </c>
      <c r="P213">
        <v>6.82</v>
      </c>
      <c r="Q213">
        <v>0.34</v>
      </c>
      <c r="R213">
        <v>6.48</v>
      </c>
      <c r="S213">
        <v>3.04</v>
      </c>
      <c r="T213">
        <v>3.44</v>
      </c>
      <c r="U213" t="s">
        <v>123</v>
      </c>
      <c r="V213" t="s">
        <v>63</v>
      </c>
      <c r="W213">
        <v>4</v>
      </c>
      <c r="X213" s="25" t="s">
        <v>490</v>
      </c>
    </row>
    <row r="214" spans="1:24" x14ac:dyDescent="0.55000000000000004">
      <c r="A214" t="s">
        <v>342</v>
      </c>
      <c r="B214" s="24">
        <v>45522</v>
      </c>
      <c r="C214" t="s">
        <v>296</v>
      </c>
      <c r="D214" t="s">
        <v>99</v>
      </c>
      <c r="E214" t="s">
        <v>488</v>
      </c>
      <c r="F214" t="s">
        <v>489</v>
      </c>
      <c r="G214" t="s">
        <v>82</v>
      </c>
      <c r="H214" t="s">
        <v>83</v>
      </c>
      <c r="I214" t="s">
        <v>84</v>
      </c>
      <c r="J214" t="s">
        <v>39</v>
      </c>
      <c r="K214" t="s">
        <v>85</v>
      </c>
      <c r="L214" t="s">
        <v>66</v>
      </c>
      <c r="M214" t="s">
        <v>107</v>
      </c>
      <c r="N214">
        <v>2</v>
      </c>
      <c r="O214">
        <v>3.72</v>
      </c>
      <c r="P214">
        <v>7.44</v>
      </c>
      <c r="Q214">
        <v>0</v>
      </c>
      <c r="R214">
        <v>7.44</v>
      </c>
      <c r="S214">
        <v>3.26</v>
      </c>
      <c r="T214">
        <v>4.18</v>
      </c>
      <c r="U214" t="s">
        <v>72</v>
      </c>
      <c r="V214" t="s">
        <v>87</v>
      </c>
      <c r="W214">
        <v>4</v>
      </c>
      <c r="X214" s="25" t="s">
        <v>490</v>
      </c>
    </row>
    <row r="215" spans="1:24" x14ac:dyDescent="0.55000000000000004">
      <c r="A215" t="s">
        <v>343</v>
      </c>
      <c r="B215" s="24">
        <v>45523</v>
      </c>
      <c r="C215" t="s">
        <v>296</v>
      </c>
      <c r="D215" t="s">
        <v>75</v>
      </c>
      <c r="E215" t="s">
        <v>486</v>
      </c>
      <c r="F215" t="s">
        <v>487</v>
      </c>
      <c r="G215" t="s">
        <v>82</v>
      </c>
      <c r="H215" t="s">
        <v>83</v>
      </c>
      <c r="I215" t="s">
        <v>84</v>
      </c>
      <c r="J215" t="s">
        <v>39</v>
      </c>
      <c r="K215" t="s">
        <v>85</v>
      </c>
      <c r="L215" t="s">
        <v>100</v>
      </c>
      <c r="M215" t="s">
        <v>101</v>
      </c>
      <c r="N215">
        <v>1</v>
      </c>
      <c r="O215">
        <v>3.44</v>
      </c>
      <c r="P215">
        <v>3.44</v>
      </c>
      <c r="Q215">
        <v>0</v>
      </c>
      <c r="R215">
        <v>3.44</v>
      </c>
      <c r="S215">
        <v>1.44</v>
      </c>
      <c r="T215">
        <v>2</v>
      </c>
      <c r="U215" t="s">
        <v>72</v>
      </c>
      <c r="V215" t="s">
        <v>44</v>
      </c>
      <c r="W215">
        <v>2</v>
      </c>
      <c r="X215" s="25" t="s">
        <v>490</v>
      </c>
    </row>
    <row r="216" spans="1:24" x14ac:dyDescent="0.55000000000000004">
      <c r="A216" t="s">
        <v>344</v>
      </c>
      <c r="B216" s="24">
        <v>45524</v>
      </c>
      <c r="C216" t="s">
        <v>296</v>
      </c>
      <c r="D216" t="s">
        <v>81</v>
      </c>
      <c r="E216" t="s">
        <v>486</v>
      </c>
      <c r="F216" t="s">
        <v>487</v>
      </c>
      <c r="G216" t="s">
        <v>82</v>
      </c>
      <c r="H216" t="s">
        <v>83</v>
      </c>
      <c r="I216" t="s">
        <v>84</v>
      </c>
      <c r="J216" t="s">
        <v>39</v>
      </c>
      <c r="K216" t="s">
        <v>85</v>
      </c>
      <c r="L216" t="s">
        <v>52</v>
      </c>
      <c r="M216" t="s">
        <v>135</v>
      </c>
      <c r="N216">
        <v>1</v>
      </c>
      <c r="O216">
        <v>1.98</v>
      </c>
      <c r="P216">
        <v>1.98</v>
      </c>
      <c r="Q216">
        <v>0</v>
      </c>
      <c r="R216">
        <v>1.98</v>
      </c>
      <c r="S216">
        <v>0.83</v>
      </c>
      <c r="T216">
        <v>1.1499999999999999</v>
      </c>
      <c r="U216" t="s">
        <v>93</v>
      </c>
      <c r="V216" t="s">
        <v>55</v>
      </c>
      <c r="W216">
        <v>4</v>
      </c>
      <c r="X216" s="25" t="s">
        <v>490</v>
      </c>
    </row>
    <row r="217" spans="1:24" x14ac:dyDescent="0.55000000000000004">
      <c r="A217" t="s">
        <v>345</v>
      </c>
      <c r="B217" s="24">
        <v>45525</v>
      </c>
      <c r="C217" t="s">
        <v>296</v>
      </c>
      <c r="D217" t="s">
        <v>34</v>
      </c>
      <c r="E217" t="s">
        <v>488</v>
      </c>
      <c r="F217" t="s">
        <v>489</v>
      </c>
      <c r="G217" t="s">
        <v>104</v>
      </c>
      <c r="H217" t="s">
        <v>105</v>
      </c>
      <c r="I217" t="s">
        <v>106</v>
      </c>
      <c r="J217" t="s">
        <v>39</v>
      </c>
      <c r="K217" t="s">
        <v>85</v>
      </c>
      <c r="L217" t="s">
        <v>66</v>
      </c>
      <c r="M217" t="s">
        <v>86</v>
      </c>
      <c r="N217">
        <v>1</v>
      </c>
      <c r="O217">
        <v>3.85</v>
      </c>
      <c r="P217">
        <v>3.85</v>
      </c>
      <c r="Q217">
        <v>0.39</v>
      </c>
      <c r="R217">
        <v>3.46</v>
      </c>
      <c r="S217">
        <v>1.38</v>
      </c>
      <c r="T217">
        <v>2.08</v>
      </c>
      <c r="U217" t="s">
        <v>123</v>
      </c>
      <c r="V217" t="s">
        <v>87</v>
      </c>
      <c r="W217">
        <v>5</v>
      </c>
      <c r="X217" s="25" t="s">
        <v>491</v>
      </c>
    </row>
    <row r="218" spans="1:24" x14ac:dyDescent="0.55000000000000004">
      <c r="A218" t="s">
        <v>346</v>
      </c>
      <c r="B218" s="24">
        <v>45526</v>
      </c>
      <c r="C218" t="s">
        <v>296</v>
      </c>
      <c r="D218" t="s">
        <v>46</v>
      </c>
      <c r="E218" t="s">
        <v>484</v>
      </c>
      <c r="F218" t="s">
        <v>485</v>
      </c>
      <c r="G218" t="s">
        <v>131</v>
      </c>
      <c r="H218" t="s">
        <v>132</v>
      </c>
      <c r="I218" t="s">
        <v>133</v>
      </c>
      <c r="J218" t="s">
        <v>39</v>
      </c>
      <c r="K218" t="s">
        <v>134</v>
      </c>
      <c r="L218" t="s">
        <v>41</v>
      </c>
      <c r="M218" t="s">
        <v>154</v>
      </c>
      <c r="N218">
        <v>3</v>
      </c>
      <c r="O218">
        <v>1.47</v>
      </c>
      <c r="P218">
        <v>4.41</v>
      </c>
      <c r="Q218">
        <v>0.22</v>
      </c>
      <c r="R218">
        <v>4.1900000000000004</v>
      </c>
      <c r="S218">
        <v>1.54</v>
      </c>
      <c r="T218">
        <v>2.65</v>
      </c>
      <c r="U218" t="s">
        <v>93</v>
      </c>
      <c r="V218" t="s">
        <v>55</v>
      </c>
      <c r="W218">
        <v>4</v>
      </c>
      <c r="X218" s="25" t="s">
        <v>490</v>
      </c>
    </row>
    <row r="219" spans="1:24" x14ac:dyDescent="0.55000000000000004">
      <c r="A219" t="s">
        <v>347</v>
      </c>
      <c r="B219" s="24">
        <v>45526</v>
      </c>
      <c r="C219" t="s">
        <v>296</v>
      </c>
      <c r="D219" t="s">
        <v>46</v>
      </c>
      <c r="E219" t="s">
        <v>482</v>
      </c>
      <c r="F219" t="s">
        <v>483</v>
      </c>
      <c r="G219" t="s">
        <v>82</v>
      </c>
      <c r="H219" t="s">
        <v>83</v>
      </c>
      <c r="I219" t="s">
        <v>84</v>
      </c>
      <c r="J219" t="s">
        <v>39</v>
      </c>
      <c r="K219" t="s">
        <v>85</v>
      </c>
      <c r="L219" t="s">
        <v>66</v>
      </c>
      <c r="M219" t="s">
        <v>183</v>
      </c>
      <c r="N219">
        <v>2</v>
      </c>
      <c r="O219">
        <v>1.5</v>
      </c>
      <c r="P219">
        <v>3</v>
      </c>
      <c r="Q219">
        <v>0.15</v>
      </c>
      <c r="R219">
        <v>2.85</v>
      </c>
      <c r="S219">
        <v>1.35</v>
      </c>
      <c r="T219">
        <v>1.5</v>
      </c>
      <c r="U219" t="s">
        <v>43</v>
      </c>
      <c r="V219" t="s">
        <v>144</v>
      </c>
      <c r="W219">
        <v>4</v>
      </c>
      <c r="X219" s="25" t="s">
        <v>490</v>
      </c>
    </row>
    <row r="220" spans="1:24" x14ac:dyDescent="0.55000000000000004">
      <c r="A220" t="s">
        <v>348</v>
      </c>
      <c r="B220" s="24">
        <v>45527</v>
      </c>
      <c r="C220" t="s">
        <v>296</v>
      </c>
      <c r="D220" t="s">
        <v>57</v>
      </c>
      <c r="E220" t="s">
        <v>488</v>
      </c>
      <c r="F220" t="s">
        <v>489</v>
      </c>
      <c r="G220" t="s">
        <v>76</v>
      </c>
      <c r="H220" t="s">
        <v>77</v>
      </c>
      <c r="I220" t="s">
        <v>38</v>
      </c>
      <c r="J220" t="s">
        <v>39</v>
      </c>
      <c r="K220" t="s">
        <v>40</v>
      </c>
      <c r="L220" t="s">
        <v>78</v>
      </c>
      <c r="M220" t="s">
        <v>79</v>
      </c>
      <c r="N220">
        <v>3</v>
      </c>
      <c r="O220">
        <v>3.59</v>
      </c>
      <c r="P220">
        <v>10.77</v>
      </c>
      <c r="Q220">
        <v>0</v>
      </c>
      <c r="R220">
        <v>10.77</v>
      </c>
      <c r="S220">
        <v>5.51</v>
      </c>
      <c r="T220">
        <v>5.26</v>
      </c>
      <c r="U220" t="s">
        <v>43</v>
      </c>
      <c r="V220" t="s">
        <v>63</v>
      </c>
      <c r="W220">
        <v>4</v>
      </c>
      <c r="X220" s="25" t="s">
        <v>490</v>
      </c>
    </row>
    <row r="221" spans="1:24" x14ac:dyDescent="0.55000000000000004">
      <c r="A221" t="s">
        <v>349</v>
      </c>
      <c r="B221" s="24">
        <v>45527</v>
      </c>
      <c r="C221" t="s">
        <v>296</v>
      </c>
      <c r="D221" t="s">
        <v>57</v>
      </c>
      <c r="E221" t="s">
        <v>482</v>
      </c>
      <c r="F221" t="s">
        <v>483</v>
      </c>
      <c r="G221" t="s">
        <v>163</v>
      </c>
      <c r="H221" t="s">
        <v>164</v>
      </c>
      <c r="I221" t="s">
        <v>165</v>
      </c>
      <c r="J221" t="s">
        <v>39</v>
      </c>
      <c r="K221" t="s">
        <v>85</v>
      </c>
      <c r="L221" t="s">
        <v>66</v>
      </c>
      <c r="M221" t="s">
        <v>86</v>
      </c>
      <c r="N221">
        <v>1</v>
      </c>
      <c r="O221">
        <v>3.83</v>
      </c>
      <c r="P221">
        <v>3.83</v>
      </c>
      <c r="Q221">
        <v>0</v>
      </c>
      <c r="R221">
        <v>3.83</v>
      </c>
      <c r="S221">
        <v>1.55</v>
      </c>
      <c r="T221">
        <v>2.2799999999999998</v>
      </c>
      <c r="U221" t="s">
        <v>102</v>
      </c>
      <c r="V221" t="s">
        <v>55</v>
      </c>
      <c r="W221">
        <v>5</v>
      </c>
      <c r="X221" s="25" t="s">
        <v>490</v>
      </c>
    </row>
    <row r="222" spans="1:24" x14ac:dyDescent="0.55000000000000004">
      <c r="A222" t="s">
        <v>350</v>
      </c>
      <c r="B222" s="24">
        <v>45528</v>
      </c>
      <c r="C222" t="s">
        <v>296</v>
      </c>
      <c r="D222" t="s">
        <v>69</v>
      </c>
      <c r="E222" t="s">
        <v>484</v>
      </c>
      <c r="F222" t="s">
        <v>485</v>
      </c>
      <c r="G222" t="s">
        <v>131</v>
      </c>
      <c r="H222" t="s">
        <v>132</v>
      </c>
      <c r="I222" t="s">
        <v>133</v>
      </c>
      <c r="J222" t="s">
        <v>39</v>
      </c>
      <c r="K222" t="s">
        <v>134</v>
      </c>
      <c r="L222" t="s">
        <v>61</v>
      </c>
      <c r="M222" t="s">
        <v>62</v>
      </c>
      <c r="N222">
        <v>2</v>
      </c>
      <c r="O222">
        <v>10.68</v>
      </c>
      <c r="P222">
        <v>21.36</v>
      </c>
      <c r="Q222">
        <v>1.07</v>
      </c>
      <c r="R222">
        <v>20.29</v>
      </c>
      <c r="S222">
        <v>8.41</v>
      </c>
      <c r="T222">
        <v>11.88</v>
      </c>
      <c r="U222" t="s">
        <v>72</v>
      </c>
      <c r="V222" t="s">
        <v>87</v>
      </c>
      <c r="W222">
        <v>5</v>
      </c>
      <c r="X222" s="25" t="s">
        <v>490</v>
      </c>
    </row>
    <row r="223" spans="1:24" x14ac:dyDescent="0.55000000000000004">
      <c r="A223" t="s">
        <v>351</v>
      </c>
      <c r="B223" s="24">
        <v>45529</v>
      </c>
      <c r="C223" t="s">
        <v>296</v>
      </c>
      <c r="D223" t="s">
        <v>99</v>
      </c>
      <c r="E223" t="s">
        <v>488</v>
      </c>
      <c r="F223" t="s">
        <v>489</v>
      </c>
      <c r="G223" t="s">
        <v>89</v>
      </c>
      <c r="H223" t="s">
        <v>90</v>
      </c>
      <c r="I223" t="s">
        <v>91</v>
      </c>
      <c r="J223" t="s">
        <v>39</v>
      </c>
      <c r="K223" t="s">
        <v>92</v>
      </c>
      <c r="L223" t="s">
        <v>61</v>
      </c>
      <c r="M223" t="s">
        <v>161</v>
      </c>
      <c r="N223">
        <v>5</v>
      </c>
      <c r="O223">
        <v>11.25</v>
      </c>
      <c r="P223">
        <v>56.25</v>
      </c>
      <c r="Q223">
        <v>2.81</v>
      </c>
      <c r="R223">
        <v>53.44</v>
      </c>
      <c r="S223">
        <v>26.39</v>
      </c>
      <c r="T223">
        <v>27.05</v>
      </c>
      <c r="U223" t="s">
        <v>43</v>
      </c>
      <c r="V223" t="s">
        <v>63</v>
      </c>
      <c r="W223">
        <v>4</v>
      </c>
      <c r="X223" s="25" t="s">
        <v>490</v>
      </c>
    </row>
    <row r="224" spans="1:24" x14ac:dyDescent="0.55000000000000004">
      <c r="A224" t="s">
        <v>352</v>
      </c>
      <c r="B224" s="24">
        <v>45530</v>
      </c>
      <c r="C224" t="s">
        <v>296</v>
      </c>
      <c r="D224" t="s">
        <v>75</v>
      </c>
      <c r="E224" t="s">
        <v>484</v>
      </c>
      <c r="F224" t="s">
        <v>485</v>
      </c>
      <c r="G224" t="s">
        <v>163</v>
      </c>
      <c r="H224" t="s">
        <v>164</v>
      </c>
      <c r="I224" t="s">
        <v>165</v>
      </c>
      <c r="J224" t="s">
        <v>39</v>
      </c>
      <c r="K224" t="s">
        <v>85</v>
      </c>
      <c r="L224" t="s">
        <v>78</v>
      </c>
      <c r="M224" t="s">
        <v>143</v>
      </c>
      <c r="N224">
        <v>2</v>
      </c>
      <c r="O224">
        <v>2.87</v>
      </c>
      <c r="P224">
        <v>5.74</v>
      </c>
      <c r="Q224">
        <v>0</v>
      </c>
      <c r="R224">
        <v>5.74</v>
      </c>
      <c r="S224">
        <v>2.36</v>
      </c>
      <c r="T224">
        <v>3.38</v>
      </c>
      <c r="U224" t="s">
        <v>123</v>
      </c>
      <c r="V224" t="s">
        <v>144</v>
      </c>
      <c r="W224">
        <v>3</v>
      </c>
      <c r="X224" s="25" t="s">
        <v>490</v>
      </c>
    </row>
    <row r="225" spans="1:24" x14ac:dyDescent="0.55000000000000004">
      <c r="A225" t="s">
        <v>353</v>
      </c>
      <c r="B225" s="24">
        <v>45531</v>
      </c>
      <c r="C225" t="s">
        <v>296</v>
      </c>
      <c r="D225" t="s">
        <v>81</v>
      </c>
      <c r="E225" t="s">
        <v>482</v>
      </c>
      <c r="F225" t="s">
        <v>483</v>
      </c>
      <c r="G225" t="s">
        <v>58</v>
      </c>
      <c r="H225" t="s">
        <v>59</v>
      </c>
      <c r="I225" t="s">
        <v>60</v>
      </c>
      <c r="J225" t="s">
        <v>39</v>
      </c>
      <c r="K225" t="s">
        <v>40</v>
      </c>
      <c r="L225" t="s">
        <v>41</v>
      </c>
      <c r="M225" t="s">
        <v>239</v>
      </c>
      <c r="N225">
        <v>1</v>
      </c>
      <c r="O225">
        <v>2.02</v>
      </c>
      <c r="P225">
        <v>2.02</v>
      </c>
      <c r="Q225">
        <v>0.1</v>
      </c>
      <c r="R225">
        <v>1.92</v>
      </c>
      <c r="S225">
        <v>0.95</v>
      </c>
      <c r="T225">
        <v>0.97</v>
      </c>
      <c r="U225" t="s">
        <v>102</v>
      </c>
      <c r="V225" t="s">
        <v>73</v>
      </c>
      <c r="W225">
        <v>5</v>
      </c>
      <c r="X225" s="25" t="s">
        <v>490</v>
      </c>
    </row>
    <row r="226" spans="1:24" x14ac:dyDescent="0.55000000000000004">
      <c r="A226" t="s">
        <v>354</v>
      </c>
      <c r="B226" s="24">
        <v>45532</v>
      </c>
      <c r="C226" t="s">
        <v>296</v>
      </c>
      <c r="D226" t="s">
        <v>34</v>
      </c>
      <c r="E226" t="s">
        <v>488</v>
      </c>
      <c r="F226" t="s">
        <v>489</v>
      </c>
      <c r="G226" t="s">
        <v>104</v>
      </c>
      <c r="H226" t="s">
        <v>105</v>
      </c>
      <c r="I226" t="s">
        <v>106</v>
      </c>
      <c r="J226" t="s">
        <v>39</v>
      </c>
      <c r="K226" t="s">
        <v>85</v>
      </c>
      <c r="L226" t="s">
        <v>52</v>
      </c>
      <c r="M226" t="s">
        <v>169</v>
      </c>
      <c r="N226">
        <v>2</v>
      </c>
      <c r="O226">
        <v>3.01</v>
      </c>
      <c r="P226">
        <v>6.02</v>
      </c>
      <c r="Q226">
        <v>0</v>
      </c>
      <c r="R226">
        <v>6.02</v>
      </c>
      <c r="S226">
        <v>2.34</v>
      </c>
      <c r="T226">
        <v>3.68</v>
      </c>
      <c r="U226" t="s">
        <v>102</v>
      </c>
      <c r="V226" t="s">
        <v>73</v>
      </c>
      <c r="W226">
        <v>4</v>
      </c>
      <c r="X226" s="25" t="s">
        <v>490</v>
      </c>
    </row>
    <row r="227" spans="1:24" x14ac:dyDescent="0.55000000000000004">
      <c r="A227" t="s">
        <v>355</v>
      </c>
      <c r="B227" s="24">
        <v>45532</v>
      </c>
      <c r="C227" t="s">
        <v>296</v>
      </c>
      <c r="D227" t="s">
        <v>34</v>
      </c>
      <c r="E227" t="s">
        <v>486</v>
      </c>
      <c r="F227" t="s">
        <v>487</v>
      </c>
      <c r="G227" t="s">
        <v>104</v>
      </c>
      <c r="H227" t="s">
        <v>105</v>
      </c>
      <c r="I227" t="s">
        <v>106</v>
      </c>
      <c r="J227" t="s">
        <v>39</v>
      </c>
      <c r="K227" t="s">
        <v>85</v>
      </c>
      <c r="L227" t="s">
        <v>52</v>
      </c>
      <c r="M227" t="s">
        <v>53</v>
      </c>
      <c r="N227">
        <v>5</v>
      </c>
      <c r="O227">
        <v>2.4500000000000002</v>
      </c>
      <c r="P227">
        <v>12.25</v>
      </c>
      <c r="Q227">
        <v>0</v>
      </c>
      <c r="R227">
        <v>12.25</v>
      </c>
      <c r="S227">
        <v>6.22</v>
      </c>
      <c r="T227">
        <v>6.03</v>
      </c>
      <c r="U227" t="s">
        <v>123</v>
      </c>
      <c r="V227" t="s">
        <v>44</v>
      </c>
      <c r="W227">
        <v>5</v>
      </c>
      <c r="X227" s="25" t="s">
        <v>490</v>
      </c>
    </row>
    <row r="228" spans="1:24" x14ac:dyDescent="0.55000000000000004">
      <c r="A228" t="s">
        <v>356</v>
      </c>
      <c r="B228" s="24">
        <v>45535</v>
      </c>
      <c r="C228" t="s">
        <v>296</v>
      </c>
      <c r="D228" t="s">
        <v>69</v>
      </c>
      <c r="E228" t="s">
        <v>482</v>
      </c>
      <c r="F228" t="s">
        <v>483</v>
      </c>
      <c r="G228" t="s">
        <v>131</v>
      </c>
      <c r="H228" t="s">
        <v>132</v>
      </c>
      <c r="I228" t="s">
        <v>133</v>
      </c>
      <c r="J228" t="s">
        <v>39</v>
      </c>
      <c r="K228" t="s">
        <v>134</v>
      </c>
      <c r="L228" t="s">
        <v>100</v>
      </c>
      <c r="M228" t="s">
        <v>117</v>
      </c>
      <c r="N228">
        <v>2</v>
      </c>
      <c r="O228">
        <v>3.32</v>
      </c>
      <c r="P228">
        <v>6.64</v>
      </c>
      <c r="Q228">
        <v>0</v>
      </c>
      <c r="R228">
        <v>6.64</v>
      </c>
      <c r="S228">
        <v>3.25</v>
      </c>
      <c r="T228">
        <v>3.39</v>
      </c>
      <c r="U228" t="s">
        <v>72</v>
      </c>
      <c r="V228" t="s">
        <v>63</v>
      </c>
      <c r="W228">
        <v>3</v>
      </c>
      <c r="X228" s="25" t="s">
        <v>490</v>
      </c>
    </row>
    <row r="229" spans="1:24" x14ac:dyDescent="0.55000000000000004">
      <c r="A229" t="s">
        <v>357</v>
      </c>
      <c r="B229" s="24">
        <v>45535</v>
      </c>
      <c r="C229" t="s">
        <v>296</v>
      </c>
      <c r="D229" t="s">
        <v>69</v>
      </c>
      <c r="E229" t="s">
        <v>486</v>
      </c>
      <c r="F229" t="s">
        <v>487</v>
      </c>
      <c r="G229" t="s">
        <v>48</v>
      </c>
      <c r="H229" t="s">
        <v>49</v>
      </c>
      <c r="I229" t="s">
        <v>50</v>
      </c>
      <c r="J229" t="s">
        <v>39</v>
      </c>
      <c r="K229" t="s">
        <v>51</v>
      </c>
      <c r="L229" t="s">
        <v>52</v>
      </c>
      <c r="M229" t="s">
        <v>180</v>
      </c>
      <c r="N229">
        <v>3</v>
      </c>
      <c r="O229">
        <v>3.74</v>
      </c>
      <c r="P229">
        <v>11.22</v>
      </c>
      <c r="Q229">
        <v>0</v>
      </c>
      <c r="R229">
        <v>11.22</v>
      </c>
      <c r="S229">
        <v>4.0599999999999996</v>
      </c>
      <c r="T229">
        <v>7.16</v>
      </c>
      <c r="U229" t="s">
        <v>102</v>
      </c>
      <c r="V229" t="s">
        <v>73</v>
      </c>
      <c r="W229">
        <v>4</v>
      </c>
      <c r="X229" s="25" t="s">
        <v>490</v>
      </c>
    </row>
    <row r="230" spans="1:24" x14ac:dyDescent="0.55000000000000004">
      <c r="A230" t="s">
        <v>358</v>
      </c>
      <c r="B230" s="24">
        <v>45536</v>
      </c>
      <c r="C230" t="s">
        <v>296</v>
      </c>
      <c r="D230" t="s">
        <v>99</v>
      </c>
      <c r="E230" t="s">
        <v>482</v>
      </c>
      <c r="F230" t="s">
        <v>483</v>
      </c>
      <c r="G230" t="s">
        <v>89</v>
      </c>
      <c r="H230" t="s">
        <v>90</v>
      </c>
      <c r="I230" t="s">
        <v>91</v>
      </c>
      <c r="J230" t="s">
        <v>39</v>
      </c>
      <c r="K230" t="s">
        <v>92</v>
      </c>
      <c r="L230" t="s">
        <v>61</v>
      </c>
      <c r="M230" t="s">
        <v>121</v>
      </c>
      <c r="N230">
        <v>1</v>
      </c>
      <c r="O230">
        <v>9.49</v>
      </c>
      <c r="P230">
        <v>9.49</v>
      </c>
      <c r="Q230">
        <v>1.42</v>
      </c>
      <c r="R230">
        <v>8.07</v>
      </c>
      <c r="S230">
        <v>2.94</v>
      </c>
      <c r="T230">
        <v>5.13</v>
      </c>
      <c r="U230" t="s">
        <v>102</v>
      </c>
      <c r="V230" t="s">
        <v>73</v>
      </c>
      <c r="W230">
        <v>4</v>
      </c>
      <c r="X230" s="25" t="s">
        <v>493</v>
      </c>
    </row>
    <row r="231" spans="1:24" x14ac:dyDescent="0.55000000000000004">
      <c r="A231" t="s">
        <v>359</v>
      </c>
      <c r="B231" s="24">
        <v>45536</v>
      </c>
      <c r="C231" t="s">
        <v>296</v>
      </c>
      <c r="D231" t="s">
        <v>99</v>
      </c>
      <c r="E231" t="s">
        <v>488</v>
      </c>
      <c r="F231" t="s">
        <v>489</v>
      </c>
      <c r="G231" t="s">
        <v>114</v>
      </c>
      <c r="H231" t="s">
        <v>115</v>
      </c>
      <c r="I231" t="s">
        <v>116</v>
      </c>
      <c r="J231" t="s">
        <v>39</v>
      </c>
      <c r="K231" t="s">
        <v>51</v>
      </c>
      <c r="L231" t="s">
        <v>52</v>
      </c>
      <c r="M231" t="s">
        <v>180</v>
      </c>
      <c r="N231">
        <v>1</v>
      </c>
      <c r="O231">
        <v>3.83</v>
      </c>
      <c r="P231">
        <v>3.83</v>
      </c>
      <c r="Q231">
        <v>0</v>
      </c>
      <c r="R231">
        <v>3.83</v>
      </c>
      <c r="S231">
        <v>2.06</v>
      </c>
      <c r="T231">
        <v>1.77</v>
      </c>
      <c r="U231" t="s">
        <v>93</v>
      </c>
      <c r="V231" t="s">
        <v>144</v>
      </c>
      <c r="W231">
        <v>5</v>
      </c>
      <c r="X231" s="25" t="s">
        <v>490</v>
      </c>
    </row>
    <row r="232" spans="1:24" x14ac:dyDescent="0.55000000000000004">
      <c r="A232" t="s">
        <v>360</v>
      </c>
      <c r="B232" s="24">
        <v>45536</v>
      </c>
      <c r="C232" t="s">
        <v>296</v>
      </c>
      <c r="D232" t="s">
        <v>99</v>
      </c>
      <c r="E232" t="s">
        <v>486</v>
      </c>
      <c r="F232" t="s">
        <v>487</v>
      </c>
      <c r="G232" t="s">
        <v>82</v>
      </c>
      <c r="H232" t="s">
        <v>83</v>
      </c>
      <c r="I232" t="s">
        <v>84</v>
      </c>
      <c r="J232" t="s">
        <v>39</v>
      </c>
      <c r="K232" t="s">
        <v>85</v>
      </c>
      <c r="L232" t="s">
        <v>41</v>
      </c>
      <c r="M232" t="s">
        <v>125</v>
      </c>
      <c r="N232">
        <v>1</v>
      </c>
      <c r="O232">
        <v>2.82</v>
      </c>
      <c r="P232">
        <v>2.82</v>
      </c>
      <c r="Q232">
        <v>0</v>
      </c>
      <c r="R232">
        <v>2.82</v>
      </c>
      <c r="S232">
        <v>1.38</v>
      </c>
      <c r="T232">
        <v>1.44</v>
      </c>
      <c r="U232" t="s">
        <v>102</v>
      </c>
      <c r="V232" t="s">
        <v>63</v>
      </c>
      <c r="W232">
        <v>3</v>
      </c>
      <c r="X232" s="25" t="s">
        <v>490</v>
      </c>
    </row>
    <row r="233" spans="1:24" x14ac:dyDescent="0.55000000000000004">
      <c r="A233" t="s">
        <v>361</v>
      </c>
      <c r="B233" s="24">
        <v>45538</v>
      </c>
      <c r="C233" t="s">
        <v>296</v>
      </c>
      <c r="D233" t="s">
        <v>81</v>
      </c>
      <c r="E233" t="s">
        <v>484</v>
      </c>
      <c r="F233" t="s">
        <v>485</v>
      </c>
      <c r="G233" t="s">
        <v>163</v>
      </c>
      <c r="H233" t="s">
        <v>164</v>
      </c>
      <c r="I233" t="s">
        <v>165</v>
      </c>
      <c r="J233" t="s">
        <v>39</v>
      </c>
      <c r="K233" t="s">
        <v>85</v>
      </c>
      <c r="L233" t="s">
        <v>41</v>
      </c>
      <c r="M233" t="s">
        <v>239</v>
      </c>
      <c r="N233">
        <v>1</v>
      </c>
      <c r="O233">
        <v>1.94</v>
      </c>
      <c r="P233">
        <v>1.94</v>
      </c>
      <c r="Q233">
        <v>0</v>
      </c>
      <c r="R233">
        <v>1.94</v>
      </c>
      <c r="S233">
        <v>0.9</v>
      </c>
      <c r="T233">
        <v>1.04</v>
      </c>
      <c r="U233" t="s">
        <v>72</v>
      </c>
      <c r="V233" t="s">
        <v>44</v>
      </c>
      <c r="W233">
        <v>5</v>
      </c>
      <c r="X233" s="25" t="s">
        <v>490</v>
      </c>
    </row>
    <row r="234" spans="1:24" x14ac:dyDescent="0.55000000000000004">
      <c r="A234" t="s">
        <v>362</v>
      </c>
      <c r="B234" s="24">
        <v>45539</v>
      </c>
      <c r="C234" t="s">
        <v>296</v>
      </c>
      <c r="D234" t="s">
        <v>34</v>
      </c>
      <c r="E234" t="s">
        <v>484</v>
      </c>
      <c r="F234" t="s">
        <v>485</v>
      </c>
      <c r="G234" t="s">
        <v>131</v>
      </c>
      <c r="H234" t="s">
        <v>132</v>
      </c>
      <c r="I234" t="s">
        <v>133</v>
      </c>
      <c r="J234" t="s">
        <v>39</v>
      </c>
      <c r="K234" t="s">
        <v>134</v>
      </c>
      <c r="L234" t="s">
        <v>52</v>
      </c>
      <c r="M234" t="s">
        <v>53</v>
      </c>
      <c r="N234">
        <v>1</v>
      </c>
      <c r="O234">
        <v>2.4700000000000002</v>
      </c>
      <c r="P234">
        <v>2.4700000000000002</v>
      </c>
      <c r="Q234">
        <v>0</v>
      </c>
      <c r="R234">
        <v>2.4700000000000002</v>
      </c>
      <c r="S234">
        <v>0.88</v>
      </c>
      <c r="T234">
        <v>1.59</v>
      </c>
      <c r="U234" t="s">
        <v>54</v>
      </c>
      <c r="V234" t="s">
        <v>73</v>
      </c>
      <c r="W234">
        <v>4</v>
      </c>
      <c r="X234" s="25" t="s">
        <v>490</v>
      </c>
    </row>
    <row r="235" spans="1:24" x14ac:dyDescent="0.55000000000000004">
      <c r="A235" t="s">
        <v>363</v>
      </c>
      <c r="B235" s="24">
        <v>45539</v>
      </c>
      <c r="C235" t="s">
        <v>296</v>
      </c>
      <c r="D235" t="s">
        <v>34</v>
      </c>
      <c r="E235" t="s">
        <v>482</v>
      </c>
      <c r="F235" t="s">
        <v>483</v>
      </c>
      <c r="G235" t="s">
        <v>82</v>
      </c>
      <c r="H235" t="s">
        <v>83</v>
      </c>
      <c r="I235" t="s">
        <v>84</v>
      </c>
      <c r="J235" t="s">
        <v>39</v>
      </c>
      <c r="K235" t="s">
        <v>85</v>
      </c>
      <c r="L235" t="s">
        <v>66</v>
      </c>
      <c r="M235" t="s">
        <v>183</v>
      </c>
      <c r="N235">
        <v>4</v>
      </c>
      <c r="O235">
        <v>1.45</v>
      </c>
      <c r="P235">
        <v>5.8</v>
      </c>
      <c r="Q235">
        <v>0.57999999999999996</v>
      </c>
      <c r="R235">
        <v>5.22</v>
      </c>
      <c r="S235">
        <v>2.59</v>
      </c>
      <c r="T235">
        <v>2.63</v>
      </c>
      <c r="U235" t="s">
        <v>123</v>
      </c>
      <c r="V235" t="s">
        <v>55</v>
      </c>
      <c r="W235">
        <v>4</v>
      </c>
      <c r="X235" s="25" t="s">
        <v>491</v>
      </c>
    </row>
    <row r="236" spans="1:24" x14ac:dyDescent="0.55000000000000004">
      <c r="A236" t="s">
        <v>364</v>
      </c>
      <c r="B236" s="24">
        <v>45541</v>
      </c>
      <c r="C236" t="s">
        <v>296</v>
      </c>
      <c r="D236" t="s">
        <v>57</v>
      </c>
      <c r="E236" t="s">
        <v>486</v>
      </c>
      <c r="F236" t="s">
        <v>487</v>
      </c>
      <c r="G236" t="s">
        <v>82</v>
      </c>
      <c r="H236" t="s">
        <v>83</v>
      </c>
      <c r="I236" t="s">
        <v>84</v>
      </c>
      <c r="J236" t="s">
        <v>39</v>
      </c>
      <c r="K236" t="s">
        <v>85</v>
      </c>
      <c r="L236" t="s">
        <v>78</v>
      </c>
      <c r="M236" t="s">
        <v>141</v>
      </c>
      <c r="N236">
        <v>1</v>
      </c>
      <c r="O236">
        <v>6.4</v>
      </c>
      <c r="P236">
        <v>6.4</v>
      </c>
      <c r="Q236">
        <v>0</v>
      </c>
      <c r="R236">
        <v>6.4</v>
      </c>
      <c r="S236">
        <v>3.14</v>
      </c>
      <c r="T236">
        <v>3.26</v>
      </c>
      <c r="U236" t="s">
        <v>54</v>
      </c>
      <c r="V236" t="s">
        <v>87</v>
      </c>
      <c r="W236">
        <v>4</v>
      </c>
      <c r="X236" s="25" t="s">
        <v>490</v>
      </c>
    </row>
    <row r="237" spans="1:24" x14ac:dyDescent="0.55000000000000004">
      <c r="A237" t="s">
        <v>365</v>
      </c>
      <c r="B237" s="24">
        <v>45543</v>
      </c>
      <c r="C237" t="s">
        <v>296</v>
      </c>
      <c r="D237" t="s">
        <v>99</v>
      </c>
      <c r="E237" t="s">
        <v>484</v>
      </c>
      <c r="F237" t="s">
        <v>485</v>
      </c>
      <c r="G237" t="s">
        <v>48</v>
      </c>
      <c r="H237" t="s">
        <v>49</v>
      </c>
      <c r="I237" t="s">
        <v>50</v>
      </c>
      <c r="J237" t="s">
        <v>39</v>
      </c>
      <c r="K237" t="s">
        <v>51</v>
      </c>
      <c r="L237" t="s">
        <v>41</v>
      </c>
      <c r="M237" t="s">
        <v>154</v>
      </c>
      <c r="N237">
        <v>3</v>
      </c>
      <c r="O237">
        <v>1.46</v>
      </c>
      <c r="P237">
        <v>4.38</v>
      </c>
      <c r="Q237">
        <v>0.44</v>
      </c>
      <c r="R237">
        <v>3.94</v>
      </c>
      <c r="S237">
        <v>1.76</v>
      </c>
      <c r="T237">
        <v>2.1800000000000002</v>
      </c>
      <c r="U237" t="s">
        <v>43</v>
      </c>
      <c r="V237" t="s">
        <v>73</v>
      </c>
      <c r="W237">
        <v>4</v>
      </c>
      <c r="X237" s="25" t="s">
        <v>491</v>
      </c>
    </row>
    <row r="238" spans="1:24" x14ac:dyDescent="0.55000000000000004">
      <c r="A238" t="s">
        <v>366</v>
      </c>
      <c r="B238" s="24">
        <v>45543</v>
      </c>
      <c r="C238" t="s">
        <v>296</v>
      </c>
      <c r="D238" t="s">
        <v>99</v>
      </c>
      <c r="E238" t="s">
        <v>482</v>
      </c>
      <c r="F238" t="s">
        <v>483</v>
      </c>
      <c r="G238" t="s">
        <v>36</v>
      </c>
      <c r="H238" t="s">
        <v>37</v>
      </c>
      <c r="I238" t="s">
        <v>38</v>
      </c>
      <c r="J238" t="s">
        <v>39</v>
      </c>
      <c r="K238" t="s">
        <v>40</v>
      </c>
      <c r="L238" t="s">
        <v>100</v>
      </c>
      <c r="M238" t="s">
        <v>111</v>
      </c>
      <c r="N238">
        <v>4</v>
      </c>
      <c r="O238">
        <v>5.97</v>
      </c>
      <c r="P238">
        <v>23.88</v>
      </c>
      <c r="Q238">
        <v>3.58</v>
      </c>
      <c r="R238">
        <v>20.3</v>
      </c>
      <c r="S238">
        <v>8.91</v>
      </c>
      <c r="T238">
        <v>11.39</v>
      </c>
      <c r="U238" t="s">
        <v>102</v>
      </c>
      <c r="V238" t="s">
        <v>73</v>
      </c>
      <c r="W238">
        <v>5</v>
      </c>
      <c r="X238" s="25" t="s">
        <v>493</v>
      </c>
    </row>
    <row r="239" spans="1:24" x14ac:dyDescent="0.55000000000000004">
      <c r="A239" t="s">
        <v>367</v>
      </c>
      <c r="B239" s="24">
        <v>45545</v>
      </c>
      <c r="C239" t="s">
        <v>296</v>
      </c>
      <c r="D239" t="s">
        <v>81</v>
      </c>
      <c r="E239" t="s">
        <v>482</v>
      </c>
      <c r="F239" t="s">
        <v>483</v>
      </c>
      <c r="G239" t="s">
        <v>131</v>
      </c>
      <c r="H239" t="s">
        <v>132</v>
      </c>
      <c r="I239" t="s">
        <v>133</v>
      </c>
      <c r="J239" t="s">
        <v>39</v>
      </c>
      <c r="K239" t="s">
        <v>134</v>
      </c>
      <c r="L239" t="s">
        <v>61</v>
      </c>
      <c r="M239" t="s">
        <v>121</v>
      </c>
      <c r="N239">
        <v>2</v>
      </c>
      <c r="O239">
        <v>9.2799999999999994</v>
      </c>
      <c r="P239">
        <v>18.559999999999999</v>
      </c>
      <c r="Q239">
        <v>0</v>
      </c>
      <c r="R239">
        <v>18.559999999999999</v>
      </c>
      <c r="S239">
        <v>7.96</v>
      </c>
      <c r="T239">
        <v>10.6</v>
      </c>
      <c r="U239" t="s">
        <v>43</v>
      </c>
      <c r="V239" t="s">
        <v>63</v>
      </c>
      <c r="W239">
        <v>4</v>
      </c>
      <c r="X239" s="25" t="s">
        <v>490</v>
      </c>
    </row>
    <row r="240" spans="1:24" x14ac:dyDescent="0.55000000000000004">
      <c r="A240" t="s">
        <v>368</v>
      </c>
      <c r="B240" s="24">
        <v>45547</v>
      </c>
      <c r="C240" t="s">
        <v>296</v>
      </c>
      <c r="D240" t="s">
        <v>46</v>
      </c>
      <c r="E240" t="s">
        <v>486</v>
      </c>
      <c r="F240" t="s">
        <v>487</v>
      </c>
      <c r="G240" t="s">
        <v>89</v>
      </c>
      <c r="H240" t="s">
        <v>90</v>
      </c>
      <c r="I240" t="s">
        <v>91</v>
      </c>
      <c r="J240" t="s">
        <v>39</v>
      </c>
      <c r="K240" t="s">
        <v>92</v>
      </c>
      <c r="L240" t="s">
        <v>78</v>
      </c>
      <c r="M240" t="s">
        <v>97</v>
      </c>
      <c r="N240">
        <v>1</v>
      </c>
      <c r="O240">
        <v>3.34</v>
      </c>
      <c r="P240">
        <v>3.34</v>
      </c>
      <c r="Q240">
        <v>0.33</v>
      </c>
      <c r="R240">
        <v>3.01</v>
      </c>
      <c r="S240">
        <v>1.18</v>
      </c>
      <c r="T240">
        <v>1.83</v>
      </c>
      <c r="U240" t="s">
        <v>43</v>
      </c>
      <c r="V240" t="s">
        <v>55</v>
      </c>
      <c r="W240">
        <v>5</v>
      </c>
      <c r="X240" s="25" t="s">
        <v>491</v>
      </c>
    </row>
    <row r="241" spans="1:24" x14ac:dyDescent="0.55000000000000004">
      <c r="A241" t="s">
        <v>369</v>
      </c>
      <c r="B241" s="24">
        <v>45547</v>
      </c>
      <c r="C241" t="s">
        <v>296</v>
      </c>
      <c r="D241" t="s">
        <v>46</v>
      </c>
      <c r="E241" t="s">
        <v>488</v>
      </c>
      <c r="F241" t="s">
        <v>489</v>
      </c>
      <c r="G241" t="s">
        <v>131</v>
      </c>
      <c r="H241" t="s">
        <v>132</v>
      </c>
      <c r="I241" t="s">
        <v>133</v>
      </c>
      <c r="J241" t="s">
        <v>39</v>
      </c>
      <c r="K241" t="s">
        <v>134</v>
      </c>
      <c r="L241" t="s">
        <v>100</v>
      </c>
      <c r="M241" t="s">
        <v>243</v>
      </c>
      <c r="N241">
        <v>4</v>
      </c>
      <c r="O241">
        <v>5.52</v>
      </c>
      <c r="P241">
        <v>22.08</v>
      </c>
      <c r="Q241">
        <v>0</v>
      </c>
      <c r="R241">
        <v>22.08</v>
      </c>
      <c r="S241">
        <v>9.1300000000000008</v>
      </c>
      <c r="T241">
        <v>12.95</v>
      </c>
      <c r="U241" t="s">
        <v>72</v>
      </c>
      <c r="V241" t="s">
        <v>87</v>
      </c>
      <c r="W241">
        <v>4</v>
      </c>
      <c r="X241" s="25" t="s">
        <v>490</v>
      </c>
    </row>
    <row r="242" spans="1:24" x14ac:dyDescent="0.55000000000000004">
      <c r="A242" t="s">
        <v>370</v>
      </c>
      <c r="B242" s="24">
        <v>45551</v>
      </c>
      <c r="C242" t="s">
        <v>296</v>
      </c>
      <c r="D242" t="s">
        <v>75</v>
      </c>
      <c r="E242" t="s">
        <v>484</v>
      </c>
      <c r="F242" t="s">
        <v>485</v>
      </c>
      <c r="G242" t="s">
        <v>114</v>
      </c>
      <c r="H242" t="s">
        <v>115</v>
      </c>
      <c r="I242" t="s">
        <v>116</v>
      </c>
      <c r="J242" t="s">
        <v>39</v>
      </c>
      <c r="K242" t="s">
        <v>51</v>
      </c>
      <c r="L242" t="s">
        <v>61</v>
      </c>
      <c r="M242" t="s">
        <v>62</v>
      </c>
      <c r="N242">
        <v>3</v>
      </c>
      <c r="O242">
        <v>10.4</v>
      </c>
      <c r="P242">
        <v>31.2</v>
      </c>
      <c r="Q242">
        <v>4.68</v>
      </c>
      <c r="R242">
        <v>26.52</v>
      </c>
      <c r="S242">
        <v>12.13</v>
      </c>
      <c r="T242">
        <v>14.39</v>
      </c>
      <c r="U242" t="s">
        <v>54</v>
      </c>
      <c r="V242" t="s">
        <v>144</v>
      </c>
      <c r="W242">
        <v>5</v>
      </c>
      <c r="X242" s="25" t="s">
        <v>493</v>
      </c>
    </row>
    <row r="243" spans="1:24" x14ac:dyDescent="0.55000000000000004">
      <c r="A243" t="s">
        <v>371</v>
      </c>
      <c r="B243" s="24">
        <v>45551</v>
      </c>
      <c r="C243" t="s">
        <v>296</v>
      </c>
      <c r="D243" t="s">
        <v>75</v>
      </c>
      <c r="E243" t="s">
        <v>484</v>
      </c>
      <c r="F243" t="s">
        <v>485</v>
      </c>
      <c r="G243" t="s">
        <v>114</v>
      </c>
      <c r="H243" t="s">
        <v>115</v>
      </c>
      <c r="I243" t="s">
        <v>116</v>
      </c>
      <c r="J243" t="s">
        <v>39</v>
      </c>
      <c r="K243" t="s">
        <v>51</v>
      </c>
      <c r="L243" t="s">
        <v>41</v>
      </c>
      <c r="M243" t="s">
        <v>125</v>
      </c>
      <c r="N243">
        <v>4</v>
      </c>
      <c r="O243">
        <v>2.71</v>
      </c>
      <c r="P243">
        <v>10.84</v>
      </c>
      <c r="Q243">
        <v>0</v>
      </c>
      <c r="R243">
        <v>10.84</v>
      </c>
      <c r="S243">
        <v>5.6</v>
      </c>
      <c r="T243">
        <v>5.24</v>
      </c>
      <c r="U243" t="s">
        <v>102</v>
      </c>
      <c r="V243" t="s">
        <v>44</v>
      </c>
      <c r="W243">
        <v>4</v>
      </c>
      <c r="X243" s="25" t="s">
        <v>490</v>
      </c>
    </row>
    <row r="244" spans="1:24" x14ac:dyDescent="0.55000000000000004">
      <c r="A244" t="s">
        <v>372</v>
      </c>
      <c r="B244" s="24">
        <v>45552</v>
      </c>
      <c r="C244" t="s">
        <v>296</v>
      </c>
      <c r="D244" t="s">
        <v>81</v>
      </c>
      <c r="E244" t="s">
        <v>486</v>
      </c>
      <c r="F244" t="s">
        <v>487</v>
      </c>
      <c r="G244" t="s">
        <v>104</v>
      </c>
      <c r="H244" t="s">
        <v>105</v>
      </c>
      <c r="I244" t="s">
        <v>106</v>
      </c>
      <c r="J244" t="s">
        <v>39</v>
      </c>
      <c r="K244" t="s">
        <v>85</v>
      </c>
      <c r="L244" t="s">
        <v>100</v>
      </c>
      <c r="M244" t="s">
        <v>185</v>
      </c>
      <c r="N244">
        <v>1</v>
      </c>
      <c r="O244">
        <v>6.48</v>
      </c>
      <c r="P244">
        <v>6.48</v>
      </c>
      <c r="Q244">
        <v>0</v>
      </c>
      <c r="R244">
        <v>6.48</v>
      </c>
      <c r="S244">
        <v>2.46</v>
      </c>
      <c r="T244">
        <v>4.0199999999999996</v>
      </c>
      <c r="U244" t="s">
        <v>102</v>
      </c>
      <c r="V244" t="s">
        <v>87</v>
      </c>
      <c r="W244">
        <v>5</v>
      </c>
      <c r="X244" s="25" t="s">
        <v>490</v>
      </c>
    </row>
    <row r="245" spans="1:24" x14ac:dyDescent="0.55000000000000004">
      <c r="A245" t="s">
        <v>373</v>
      </c>
      <c r="B245" s="24">
        <v>45552</v>
      </c>
      <c r="C245" t="s">
        <v>296</v>
      </c>
      <c r="D245" t="s">
        <v>81</v>
      </c>
      <c r="E245" t="s">
        <v>486</v>
      </c>
      <c r="F245" t="s">
        <v>487</v>
      </c>
      <c r="G245" t="s">
        <v>114</v>
      </c>
      <c r="H245" t="s">
        <v>115</v>
      </c>
      <c r="I245" t="s">
        <v>116</v>
      </c>
      <c r="J245" t="s">
        <v>39</v>
      </c>
      <c r="K245" t="s">
        <v>51</v>
      </c>
      <c r="L245" t="s">
        <v>61</v>
      </c>
      <c r="M245" t="s">
        <v>62</v>
      </c>
      <c r="N245">
        <v>1</v>
      </c>
      <c r="O245">
        <v>10.26</v>
      </c>
      <c r="P245">
        <v>10.26</v>
      </c>
      <c r="Q245">
        <v>0</v>
      </c>
      <c r="R245">
        <v>10.26</v>
      </c>
      <c r="S245">
        <v>4.5599999999999996</v>
      </c>
      <c r="T245">
        <v>5.7</v>
      </c>
      <c r="U245" t="s">
        <v>72</v>
      </c>
      <c r="V245" t="s">
        <v>44</v>
      </c>
      <c r="W245">
        <v>5</v>
      </c>
      <c r="X245" s="25" t="s">
        <v>490</v>
      </c>
    </row>
    <row r="246" spans="1:24" x14ac:dyDescent="0.55000000000000004">
      <c r="A246" t="s">
        <v>374</v>
      </c>
      <c r="B246" s="24">
        <v>45553</v>
      </c>
      <c r="C246" t="s">
        <v>296</v>
      </c>
      <c r="D246" t="s">
        <v>34</v>
      </c>
      <c r="E246" t="s">
        <v>486</v>
      </c>
      <c r="F246" t="s">
        <v>487</v>
      </c>
      <c r="G246" t="s">
        <v>163</v>
      </c>
      <c r="H246" t="s">
        <v>164</v>
      </c>
      <c r="I246" t="s">
        <v>165</v>
      </c>
      <c r="J246" t="s">
        <v>39</v>
      </c>
      <c r="K246" t="s">
        <v>85</v>
      </c>
      <c r="L246" t="s">
        <v>100</v>
      </c>
      <c r="M246" t="s">
        <v>117</v>
      </c>
      <c r="N246">
        <v>4</v>
      </c>
      <c r="O246">
        <v>3.22</v>
      </c>
      <c r="P246">
        <v>12.88</v>
      </c>
      <c r="Q246">
        <v>0</v>
      </c>
      <c r="R246">
        <v>12.88</v>
      </c>
      <c r="S246">
        <v>6.5</v>
      </c>
      <c r="T246">
        <v>6.38</v>
      </c>
      <c r="U246" t="s">
        <v>43</v>
      </c>
      <c r="V246" t="s">
        <v>73</v>
      </c>
      <c r="W246">
        <v>3</v>
      </c>
      <c r="X246" s="25" t="s">
        <v>490</v>
      </c>
    </row>
    <row r="247" spans="1:24" x14ac:dyDescent="0.55000000000000004">
      <c r="A247" t="s">
        <v>375</v>
      </c>
      <c r="B247" s="24">
        <v>45554</v>
      </c>
      <c r="C247" t="s">
        <v>296</v>
      </c>
      <c r="D247" t="s">
        <v>46</v>
      </c>
      <c r="E247" t="s">
        <v>484</v>
      </c>
      <c r="F247" t="s">
        <v>485</v>
      </c>
      <c r="G247" t="s">
        <v>76</v>
      </c>
      <c r="H247" t="s">
        <v>77</v>
      </c>
      <c r="I247" t="s">
        <v>38</v>
      </c>
      <c r="J247" t="s">
        <v>39</v>
      </c>
      <c r="K247" t="s">
        <v>40</v>
      </c>
      <c r="L247" t="s">
        <v>78</v>
      </c>
      <c r="M247" t="s">
        <v>143</v>
      </c>
      <c r="N247">
        <v>4</v>
      </c>
      <c r="O247">
        <v>2.74</v>
      </c>
      <c r="P247">
        <v>10.96</v>
      </c>
      <c r="Q247">
        <v>0</v>
      </c>
      <c r="R247">
        <v>10.96</v>
      </c>
      <c r="S247">
        <v>4.5999999999999996</v>
      </c>
      <c r="T247">
        <v>6.36</v>
      </c>
      <c r="U247" t="s">
        <v>102</v>
      </c>
      <c r="V247" t="s">
        <v>63</v>
      </c>
      <c r="W247">
        <v>4</v>
      </c>
      <c r="X247" s="25" t="s">
        <v>490</v>
      </c>
    </row>
    <row r="248" spans="1:24" x14ac:dyDescent="0.55000000000000004">
      <c r="A248" t="s">
        <v>376</v>
      </c>
      <c r="B248" s="24">
        <v>45554</v>
      </c>
      <c r="C248" t="s">
        <v>296</v>
      </c>
      <c r="D248" t="s">
        <v>46</v>
      </c>
      <c r="E248" t="s">
        <v>484</v>
      </c>
      <c r="F248" t="s">
        <v>485</v>
      </c>
      <c r="G248" t="s">
        <v>114</v>
      </c>
      <c r="H248" t="s">
        <v>115</v>
      </c>
      <c r="I248" t="s">
        <v>116</v>
      </c>
      <c r="J248" t="s">
        <v>39</v>
      </c>
      <c r="K248" t="s">
        <v>51</v>
      </c>
      <c r="L248" t="s">
        <v>78</v>
      </c>
      <c r="M248" t="s">
        <v>97</v>
      </c>
      <c r="N248">
        <v>1</v>
      </c>
      <c r="O248">
        <v>3.28</v>
      </c>
      <c r="P248">
        <v>3.28</v>
      </c>
      <c r="Q248">
        <v>0.33</v>
      </c>
      <c r="R248">
        <v>2.95</v>
      </c>
      <c r="S248">
        <v>1.46</v>
      </c>
      <c r="T248">
        <v>1.49</v>
      </c>
      <c r="U248" t="s">
        <v>72</v>
      </c>
      <c r="V248" t="s">
        <v>55</v>
      </c>
      <c r="W248">
        <v>5</v>
      </c>
      <c r="X248" s="25" t="s">
        <v>491</v>
      </c>
    </row>
    <row r="249" spans="1:24" x14ac:dyDescent="0.55000000000000004">
      <c r="A249" t="s">
        <v>377</v>
      </c>
      <c r="B249" s="24">
        <v>45555</v>
      </c>
      <c r="C249" t="s">
        <v>296</v>
      </c>
      <c r="D249" t="s">
        <v>57</v>
      </c>
      <c r="E249" t="s">
        <v>482</v>
      </c>
      <c r="F249" t="s">
        <v>483</v>
      </c>
      <c r="G249" t="s">
        <v>114</v>
      </c>
      <c r="H249" t="s">
        <v>115</v>
      </c>
      <c r="I249" t="s">
        <v>116</v>
      </c>
      <c r="J249" t="s">
        <v>39</v>
      </c>
      <c r="K249" t="s">
        <v>51</v>
      </c>
      <c r="L249" t="s">
        <v>61</v>
      </c>
      <c r="M249" t="s">
        <v>119</v>
      </c>
      <c r="N249">
        <v>1</v>
      </c>
      <c r="O249">
        <v>7.1</v>
      </c>
      <c r="P249">
        <v>7.1</v>
      </c>
      <c r="Q249">
        <v>0</v>
      </c>
      <c r="R249">
        <v>7.1</v>
      </c>
      <c r="S249">
        <v>2.99</v>
      </c>
      <c r="T249">
        <v>4.1100000000000003</v>
      </c>
      <c r="U249" t="s">
        <v>102</v>
      </c>
      <c r="V249" t="s">
        <v>73</v>
      </c>
      <c r="W249">
        <v>4</v>
      </c>
      <c r="X249" s="25" t="s">
        <v>490</v>
      </c>
    </row>
    <row r="250" spans="1:24" x14ac:dyDescent="0.55000000000000004">
      <c r="A250" t="s">
        <v>378</v>
      </c>
      <c r="B250" s="24">
        <v>45556</v>
      </c>
      <c r="C250" t="s">
        <v>296</v>
      </c>
      <c r="D250" t="s">
        <v>69</v>
      </c>
      <c r="E250" t="s">
        <v>488</v>
      </c>
      <c r="F250" t="s">
        <v>489</v>
      </c>
      <c r="G250" t="s">
        <v>36</v>
      </c>
      <c r="H250" t="s">
        <v>37</v>
      </c>
      <c r="I250" t="s">
        <v>38</v>
      </c>
      <c r="J250" t="s">
        <v>39</v>
      </c>
      <c r="K250" t="s">
        <v>40</v>
      </c>
      <c r="L250" t="s">
        <v>100</v>
      </c>
      <c r="M250" t="s">
        <v>111</v>
      </c>
      <c r="N250">
        <v>3</v>
      </c>
      <c r="O250">
        <v>5.99</v>
      </c>
      <c r="P250">
        <v>17.97</v>
      </c>
      <c r="Q250">
        <v>1.8</v>
      </c>
      <c r="R250">
        <v>16.170000000000002</v>
      </c>
      <c r="S250">
        <v>7.89</v>
      </c>
      <c r="T250">
        <v>8.2799999999999994</v>
      </c>
      <c r="U250" t="s">
        <v>54</v>
      </c>
      <c r="V250" t="s">
        <v>73</v>
      </c>
      <c r="W250">
        <v>4</v>
      </c>
      <c r="X250" s="25" t="s">
        <v>491</v>
      </c>
    </row>
    <row r="251" spans="1:24" x14ac:dyDescent="0.55000000000000004">
      <c r="A251" t="s">
        <v>379</v>
      </c>
      <c r="B251" s="24">
        <v>45563</v>
      </c>
      <c r="C251" t="s">
        <v>296</v>
      </c>
      <c r="D251" t="s">
        <v>69</v>
      </c>
      <c r="E251" t="s">
        <v>482</v>
      </c>
      <c r="F251" t="s">
        <v>483</v>
      </c>
      <c r="G251" t="s">
        <v>89</v>
      </c>
      <c r="H251" t="s">
        <v>90</v>
      </c>
      <c r="I251" t="s">
        <v>91</v>
      </c>
      <c r="J251" t="s">
        <v>39</v>
      </c>
      <c r="K251" t="s">
        <v>92</v>
      </c>
      <c r="L251" t="s">
        <v>41</v>
      </c>
      <c r="M251" t="s">
        <v>42</v>
      </c>
      <c r="N251">
        <v>1</v>
      </c>
      <c r="O251">
        <v>4.6100000000000003</v>
      </c>
      <c r="P251">
        <v>4.6100000000000003</v>
      </c>
      <c r="Q251">
        <v>0.23</v>
      </c>
      <c r="R251">
        <v>4.38</v>
      </c>
      <c r="S251">
        <v>1.66</v>
      </c>
      <c r="T251">
        <v>2.72</v>
      </c>
      <c r="U251" t="s">
        <v>102</v>
      </c>
      <c r="V251" t="s">
        <v>44</v>
      </c>
      <c r="W251">
        <v>3</v>
      </c>
      <c r="X251" s="25" t="s">
        <v>490</v>
      </c>
    </row>
    <row r="252" spans="1:24" x14ac:dyDescent="0.55000000000000004">
      <c r="A252" t="s">
        <v>380</v>
      </c>
      <c r="B252" s="24">
        <v>45564</v>
      </c>
      <c r="C252" t="s">
        <v>296</v>
      </c>
      <c r="D252" t="s">
        <v>99</v>
      </c>
      <c r="E252" t="s">
        <v>488</v>
      </c>
      <c r="F252" t="s">
        <v>489</v>
      </c>
      <c r="G252" t="s">
        <v>76</v>
      </c>
      <c r="H252" t="s">
        <v>77</v>
      </c>
      <c r="I252" t="s">
        <v>38</v>
      </c>
      <c r="J252" t="s">
        <v>39</v>
      </c>
      <c r="K252" t="s">
        <v>40</v>
      </c>
      <c r="L252" t="s">
        <v>41</v>
      </c>
      <c r="M252" t="s">
        <v>154</v>
      </c>
      <c r="N252">
        <v>2</v>
      </c>
      <c r="O252">
        <v>1.49</v>
      </c>
      <c r="P252">
        <v>2.98</v>
      </c>
      <c r="Q252">
        <v>0</v>
      </c>
      <c r="R252">
        <v>2.98</v>
      </c>
      <c r="S252">
        <v>1.56</v>
      </c>
      <c r="T252">
        <v>1.42</v>
      </c>
      <c r="U252" t="s">
        <v>72</v>
      </c>
      <c r="V252" t="s">
        <v>44</v>
      </c>
      <c r="W252">
        <v>5</v>
      </c>
      <c r="X252" s="25" t="s">
        <v>490</v>
      </c>
    </row>
    <row r="253" spans="1:24" x14ac:dyDescent="0.55000000000000004">
      <c r="A253" t="s">
        <v>381</v>
      </c>
      <c r="B253" s="24">
        <v>45565</v>
      </c>
      <c r="C253" t="s">
        <v>296</v>
      </c>
      <c r="D253" t="s">
        <v>75</v>
      </c>
      <c r="E253" t="s">
        <v>488</v>
      </c>
      <c r="F253" t="s">
        <v>489</v>
      </c>
      <c r="G253" t="s">
        <v>131</v>
      </c>
      <c r="H253" t="s">
        <v>132</v>
      </c>
      <c r="I253" t="s">
        <v>133</v>
      </c>
      <c r="J253" t="s">
        <v>39</v>
      </c>
      <c r="K253" t="s">
        <v>134</v>
      </c>
      <c r="L253" t="s">
        <v>100</v>
      </c>
      <c r="M253" t="s">
        <v>243</v>
      </c>
      <c r="N253">
        <v>5</v>
      </c>
      <c r="O253">
        <v>5.75</v>
      </c>
      <c r="P253">
        <v>28.75</v>
      </c>
      <c r="Q253">
        <v>1.44</v>
      </c>
      <c r="R253">
        <v>27.31</v>
      </c>
      <c r="S253">
        <v>9.67</v>
      </c>
      <c r="T253">
        <v>17.64</v>
      </c>
      <c r="U253" t="s">
        <v>54</v>
      </c>
      <c r="V253" t="s">
        <v>144</v>
      </c>
      <c r="W253">
        <v>4</v>
      </c>
      <c r="X253" s="25" t="s">
        <v>490</v>
      </c>
    </row>
    <row r="254" spans="1:24" x14ac:dyDescent="0.55000000000000004">
      <c r="A254" t="s">
        <v>382</v>
      </c>
      <c r="B254" s="24">
        <v>45567</v>
      </c>
      <c r="C254" t="s">
        <v>383</v>
      </c>
      <c r="D254" t="s">
        <v>34</v>
      </c>
      <c r="E254" t="s">
        <v>482</v>
      </c>
      <c r="F254" t="s">
        <v>483</v>
      </c>
      <c r="G254" t="s">
        <v>36</v>
      </c>
      <c r="H254" t="s">
        <v>37</v>
      </c>
      <c r="I254" t="s">
        <v>38</v>
      </c>
      <c r="J254" t="s">
        <v>39</v>
      </c>
      <c r="K254" t="s">
        <v>40</v>
      </c>
      <c r="L254" t="s">
        <v>66</v>
      </c>
      <c r="M254" t="s">
        <v>183</v>
      </c>
      <c r="N254">
        <v>1</v>
      </c>
      <c r="O254">
        <v>1.5</v>
      </c>
      <c r="P254">
        <v>1.5</v>
      </c>
      <c r="Q254">
        <v>0</v>
      </c>
      <c r="R254">
        <v>1.5</v>
      </c>
      <c r="S254">
        <v>0.62</v>
      </c>
      <c r="T254">
        <v>0.88</v>
      </c>
      <c r="U254" t="s">
        <v>102</v>
      </c>
      <c r="V254" t="s">
        <v>73</v>
      </c>
      <c r="W254">
        <v>4</v>
      </c>
      <c r="X254" s="25" t="s">
        <v>490</v>
      </c>
    </row>
    <row r="255" spans="1:24" x14ac:dyDescent="0.55000000000000004">
      <c r="A255" t="s">
        <v>384</v>
      </c>
      <c r="B255" s="24">
        <v>45568</v>
      </c>
      <c r="C255" t="s">
        <v>383</v>
      </c>
      <c r="D255" t="s">
        <v>46</v>
      </c>
      <c r="E255" t="s">
        <v>484</v>
      </c>
      <c r="F255" t="s">
        <v>485</v>
      </c>
      <c r="G255" t="s">
        <v>104</v>
      </c>
      <c r="H255" t="s">
        <v>105</v>
      </c>
      <c r="I255" t="s">
        <v>106</v>
      </c>
      <c r="J255" t="s">
        <v>39</v>
      </c>
      <c r="K255" t="s">
        <v>85</v>
      </c>
      <c r="L255" t="s">
        <v>66</v>
      </c>
      <c r="M255" t="s">
        <v>86</v>
      </c>
      <c r="N255">
        <v>2</v>
      </c>
      <c r="O255">
        <v>3.85</v>
      </c>
      <c r="P255">
        <v>7.7</v>
      </c>
      <c r="Q255">
        <v>0.39</v>
      </c>
      <c r="R255">
        <v>7.31</v>
      </c>
      <c r="S255">
        <v>3.66</v>
      </c>
      <c r="T255">
        <v>3.65</v>
      </c>
      <c r="U255" t="s">
        <v>93</v>
      </c>
      <c r="V255" t="s">
        <v>44</v>
      </c>
      <c r="W255">
        <v>4</v>
      </c>
      <c r="X255" s="25" t="s">
        <v>490</v>
      </c>
    </row>
    <row r="256" spans="1:24" x14ac:dyDescent="0.55000000000000004">
      <c r="A256" t="s">
        <v>385</v>
      </c>
      <c r="B256" s="24">
        <v>45570</v>
      </c>
      <c r="C256" t="s">
        <v>383</v>
      </c>
      <c r="D256" t="s">
        <v>69</v>
      </c>
      <c r="E256" t="s">
        <v>484</v>
      </c>
      <c r="F256" t="s">
        <v>485</v>
      </c>
      <c r="G256" t="s">
        <v>58</v>
      </c>
      <c r="H256" t="s">
        <v>59</v>
      </c>
      <c r="I256" t="s">
        <v>60</v>
      </c>
      <c r="J256" t="s">
        <v>39</v>
      </c>
      <c r="K256" t="s">
        <v>40</v>
      </c>
      <c r="L256" t="s">
        <v>61</v>
      </c>
      <c r="M256" t="s">
        <v>62</v>
      </c>
      <c r="N256">
        <v>2</v>
      </c>
      <c r="O256">
        <v>10.52</v>
      </c>
      <c r="P256">
        <v>21.04</v>
      </c>
      <c r="Q256">
        <v>3.16</v>
      </c>
      <c r="R256">
        <v>17.88</v>
      </c>
      <c r="S256">
        <v>6.63</v>
      </c>
      <c r="T256">
        <v>11.25</v>
      </c>
      <c r="U256" t="s">
        <v>93</v>
      </c>
      <c r="V256" t="s">
        <v>55</v>
      </c>
      <c r="W256">
        <v>5</v>
      </c>
      <c r="X256" s="25" t="s">
        <v>493</v>
      </c>
    </row>
    <row r="257" spans="1:24" x14ac:dyDescent="0.55000000000000004">
      <c r="A257" t="s">
        <v>386</v>
      </c>
      <c r="B257" s="24">
        <v>45570</v>
      </c>
      <c r="C257" t="s">
        <v>383</v>
      </c>
      <c r="D257" t="s">
        <v>69</v>
      </c>
      <c r="E257" t="s">
        <v>482</v>
      </c>
      <c r="F257" t="s">
        <v>483</v>
      </c>
      <c r="G257" t="s">
        <v>104</v>
      </c>
      <c r="H257" t="s">
        <v>105</v>
      </c>
      <c r="I257" t="s">
        <v>106</v>
      </c>
      <c r="J257" t="s">
        <v>39</v>
      </c>
      <c r="K257" t="s">
        <v>85</v>
      </c>
      <c r="L257" t="s">
        <v>78</v>
      </c>
      <c r="M257" t="s">
        <v>138</v>
      </c>
      <c r="N257">
        <v>2</v>
      </c>
      <c r="O257">
        <v>4.57</v>
      </c>
      <c r="P257">
        <v>9.14</v>
      </c>
      <c r="Q257">
        <v>0</v>
      </c>
      <c r="R257">
        <v>9.14</v>
      </c>
      <c r="S257">
        <v>4.2300000000000004</v>
      </c>
      <c r="T257">
        <v>4.91</v>
      </c>
      <c r="U257" t="s">
        <v>123</v>
      </c>
      <c r="V257" t="s">
        <v>63</v>
      </c>
      <c r="W257">
        <v>3</v>
      </c>
      <c r="X257" s="25" t="s">
        <v>490</v>
      </c>
    </row>
    <row r="258" spans="1:24" x14ac:dyDescent="0.55000000000000004">
      <c r="A258" t="s">
        <v>387</v>
      </c>
      <c r="B258" s="24">
        <v>45572</v>
      </c>
      <c r="C258" t="s">
        <v>383</v>
      </c>
      <c r="D258" t="s">
        <v>75</v>
      </c>
      <c r="E258" t="s">
        <v>486</v>
      </c>
      <c r="F258" t="s">
        <v>487</v>
      </c>
      <c r="G258" t="s">
        <v>131</v>
      </c>
      <c r="H258" t="s">
        <v>132</v>
      </c>
      <c r="I258" t="s">
        <v>133</v>
      </c>
      <c r="J258" t="s">
        <v>39</v>
      </c>
      <c r="K258" t="s">
        <v>134</v>
      </c>
      <c r="L258" t="s">
        <v>61</v>
      </c>
      <c r="M258" t="s">
        <v>119</v>
      </c>
      <c r="N258">
        <v>1</v>
      </c>
      <c r="O258">
        <v>6.9</v>
      </c>
      <c r="P258">
        <v>6.9</v>
      </c>
      <c r="Q258">
        <v>0</v>
      </c>
      <c r="R258">
        <v>6.9</v>
      </c>
      <c r="S258">
        <v>2.48</v>
      </c>
      <c r="T258">
        <v>4.42</v>
      </c>
      <c r="U258" t="s">
        <v>72</v>
      </c>
      <c r="V258" t="s">
        <v>73</v>
      </c>
      <c r="W258">
        <v>4</v>
      </c>
      <c r="X258" s="25" t="s">
        <v>490</v>
      </c>
    </row>
    <row r="259" spans="1:24" x14ac:dyDescent="0.55000000000000004">
      <c r="A259" t="s">
        <v>388</v>
      </c>
      <c r="B259" s="24">
        <v>45573</v>
      </c>
      <c r="C259" t="s">
        <v>383</v>
      </c>
      <c r="D259" t="s">
        <v>81</v>
      </c>
      <c r="E259" t="s">
        <v>482</v>
      </c>
      <c r="F259" t="s">
        <v>483</v>
      </c>
      <c r="G259" t="s">
        <v>48</v>
      </c>
      <c r="H259" t="s">
        <v>49</v>
      </c>
      <c r="I259" t="s">
        <v>50</v>
      </c>
      <c r="J259" t="s">
        <v>39</v>
      </c>
      <c r="K259" t="s">
        <v>51</v>
      </c>
      <c r="L259" t="s">
        <v>41</v>
      </c>
      <c r="M259" t="s">
        <v>239</v>
      </c>
      <c r="N259">
        <v>1</v>
      </c>
      <c r="O259">
        <v>1.98</v>
      </c>
      <c r="P259">
        <v>1.98</v>
      </c>
      <c r="Q259">
        <v>0</v>
      </c>
      <c r="R259">
        <v>1.98</v>
      </c>
      <c r="S259">
        <v>0.96</v>
      </c>
      <c r="T259">
        <v>1.02</v>
      </c>
      <c r="U259" t="s">
        <v>43</v>
      </c>
      <c r="V259" t="s">
        <v>63</v>
      </c>
      <c r="W259">
        <v>3</v>
      </c>
      <c r="X259" s="25" t="s">
        <v>490</v>
      </c>
    </row>
    <row r="260" spans="1:24" x14ac:dyDescent="0.55000000000000004">
      <c r="A260" t="s">
        <v>389</v>
      </c>
      <c r="B260" s="24">
        <v>45573</v>
      </c>
      <c r="C260" t="s">
        <v>383</v>
      </c>
      <c r="D260" t="s">
        <v>81</v>
      </c>
      <c r="E260" t="s">
        <v>484</v>
      </c>
      <c r="F260" t="s">
        <v>485</v>
      </c>
      <c r="G260" t="s">
        <v>58</v>
      </c>
      <c r="H260" t="s">
        <v>59</v>
      </c>
      <c r="I260" t="s">
        <v>60</v>
      </c>
      <c r="J260" t="s">
        <v>39</v>
      </c>
      <c r="K260" t="s">
        <v>40</v>
      </c>
      <c r="L260" t="s">
        <v>61</v>
      </c>
      <c r="M260" t="s">
        <v>62</v>
      </c>
      <c r="N260">
        <v>1</v>
      </c>
      <c r="O260">
        <v>10.24</v>
      </c>
      <c r="P260">
        <v>10.24</v>
      </c>
      <c r="Q260">
        <v>0</v>
      </c>
      <c r="R260">
        <v>10.24</v>
      </c>
      <c r="S260">
        <v>5.6</v>
      </c>
      <c r="T260">
        <v>4.6399999999999997</v>
      </c>
      <c r="U260" t="s">
        <v>43</v>
      </c>
      <c r="V260" t="s">
        <v>55</v>
      </c>
      <c r="W260">
        <v>3</v>
      </c>
      <c r="X260" s="25" t="s">
        <v>490</v>
      </c>
    </row>
    <row r="261" spans="1:24" x14ac:dyDescent="0.55000000000000004">
      <c r="A261" t="s">
        <v>390</v>
      </c>
      <c r="B261" s="24">
        <v>45573</v>
      </c>
      <c r="C261" t="s">
        <v>383</v>
      </c>
      <c r="D261" t="s">
        <v>81</v>
      </c>
      <c r="E261" t="s">
        <v>488</v>
      </c>
      <c r="F261" t="s">
        <v>489</v>
      </c>
      <c r="G261" t="s">
        <v>82</v>
      </c>
      <c r="H261" t="s">
        <v>83</v>
      </c>
      <c r="I261" t="s">
        <v>84</v>
      </c>
      <c r="J261" t="s">
        <v>39</v>
      </c>
      <c r="K261" t="s">
        <v>85</v>
      </c>
      <c r="L261" t="s">
        <v>100</v>
      </c>
      <c r="M261" t="s">
        <v>215</v>
      </c>
      <c r="N261">
        <v>5</v>
      </c>
      <c r="O261">
        <v>8.15</v>
      </c>
      <c r="P261">
        <v>40.75</v>
      </c>
      <c r="Q261">
        <v>8.15</v>
      </c>
      <c r="R261">
        <v>32.6</v>
      </c>
      <c r="S261">
        <v>17.45</v>
      </c>
      <c r="T261">
        <v>15.15</v>
      </c>
      <c r="U261" t="s">
        <v>93</v>
      </c>
      <c r="V261" t="s">
        <v>44</v>
      </c>
      <c r="W261">
        <v>4</v>
      </c>
      <c r="X261" s="25" t="s">
        <v>492</v>
      </c>
    </row>
    <row r="262" spans="1:24" x14ac:dyDescent="0.55000000000000004">
      <c r="A262" t="s">
        <v>391</v>
      </c>
      <c r="B262" s="24">
        <v>45573</v>
      </c>
      <c r="C262" t="s">
        <v>383</v>
      </c>
      <c r="D262" t="s">
        <v>81</v>
      </c>
      <c r="E262" t="s">
        <v>488</v>
      </c>
      <c r="F262" t="s">
        <v>489</v>
      </c>
      <c r="G262" t="s">
        <v>163</v>
      </c>
      <c r="H262" t="s">
        <v>164</v>
      </c>
      <c r="I262" t="s">
        <v>165</v>
      </c>
      <c r="J262" t="s">
        <v>39</v>
      </c>
      <c r="K262" t="s">
        <v>85</v>
      </c>
      <c r="L262" t="s">
        <v>66</v>
      </c>
      <c r="M262" t="s">
        <v>183</v>
      </c>
      <c r="N262">
        <v>1</v>
      </c>
      <c r="O262">
        <v>1.47</v>
      </c>
      <c r="P262">
        <v>1.47</v>
      </c>
      <c r="Q262">
        <v>0</v>
      </c>
      <c r="R262">
        <v>1.47</v>
      </c>
      <c r="S262">
        <v>0.56999999999999995</v>
      </c>
      <c r="T262">
        <v>0.9</v>
      </c>
      <c r="U262" t="s">
        <v>102</v>
      </c>
      <c r="V262" t="s">
        <v>73</v>
      </c>
      <c r="W262">
        <v>5</v>
      </c>
      <c r="X262" s="25" t="s">
        <v>490</v>
      </c>
    </row>
    <row r="263" spans="1:24" x14ac:dyDescent="0.55000000000000004">
      <c r="A263" t="s">
        <v>392</v>
      </c>
      <c r="B263" s="24">
        <v>45574</v>
      </c>
      <c r="C263" t="s">
        <v>383</v>
      </c>
      <c r="D263" t="s">
        <v>34</v>
      </c>
      <c r="E263" t="s">
        <v>484</v>
      </c>
      <c r="F263" t="s">
        <v>485</v>
      </c>
      <c r="G263" t="s">
        <v>163</v>
      </c>
      <c r="H263" t="s">
        <v>164</v>
      </c>
      <c r="I263" t="s">
        <v>165</v>
      </c>
      <c r="J263" t="s">
        <v>39</v>
      </c>
      <c r="K263" t="s">
        <v>85</v>
      </c>
      <c r="L263" t="s">
        <v>66</v>
      </c>
      <c r="M263" t="s">
        <v>67</v>
      </c>
      <c r="N263">
        <v>2</v>
      </c>
      <c r="O263">
        <v>1.02</v>
      </c>
      <c r="P263">
        <v>2.04</v>
      </c>
      <c r="Q263">
        <v>0.2</v>
      </c>
      <c r="R263">
        <v>1.84</v>
      </c>
      <c r="S263">
        <v>0.87</v>
      </c>
      <c r="T263">
        <v>0.97</v>
      </c>
      <c r="U263" t="s">
        <v>43</v>
      </c>
      <c r="V263" t="s">
        <v>63</v>
      </c>
      <c r="W263">
        <v>4</v>
      </c>
      <c r="X263" s="25" t="s">
        <v>491</v>
      </c>
    </row>
    <row r="264" spans="1:24" x14ac:dyDescent="0.55000000000000004">
      <c r="A264" t="s">
        <v>393</v>
      </c>
      <c r="B264" s="24">
        <v>45575</v>
      </c>
      <c r="C264" t="s">
        <v>383</v>
      </c>
      <c r="D264" t="s">
        <v>46</v>
      </c>
      <c r="E264" t="s">
        <v>488</v>
      </c>
      <c r="F264" t="s">
        <v>489</v>
      </c>
      <c r="G264" t="s">
        <v>76</v>
      </c>
      <c r="H264" t="s">
        <v>77</v>
      </c>
      <c r="I264" t="s">
        <v>38</v>
      </c>
      <c r="J264" t="s">
        <v>39</v>
      </c>
      <c r="K264" t="s">
        <v>40</v>
      </c>
      <c r="L264" t="s">
        <v>66</v>
      </c>
      <c r="M264" t="s">
        <v>95</v>
      </c>
      <c r="N264">
        <v>2</v>
      </c>
      <c r="O264">
        <v>2.02</v>
      </c>
      <c r="P264">
        <v>4.04</v>
      </c>
      <c r="Q264">
        <v>0</v>
      </c>
      <c r="R264">
        <v>4.04</v>
      </c>
      <c r="S264">
        <v>1.93</v>
      </c>
      <c r="T264">
        <v>2.11</v>
      </c>
      <c r="U264" t="s">
        <v>123</v>
      </c>
      <c r="V264" t="s">
        <v>87</v>
      </c>
      <c r="W264">
        <v>4</v>
      </c>
      <c r="X264" s="25" t="s">
        <v>490</v>
      </c>
    </row>
    <row r="265" spans="1:24" x14ac:dyDescent="0.55000000000000004">
      <c r="A265" t="s">
        <v>394</v>
      </c>
      <c r="B265" s="24">
        <v>45576</v>
      </c>
      <c r="C265" t="s">
        <v>383</v>
      </c>
      <c r="D265" t="s">
        <v>57</v>
      </c>
      <c r="E265" t="s">
        <v>484</v>
      </c>
      <c r="F265" t="s">
        <v>485</v>
      </c>
      <c r="G265" t="s">
        <v>48</v>
      </c>
      <c r="H265" t="s">
        <v>49</v>
      </c>
      <c r="I265" t="s">
        <v>50</v>
      </c>
      <c r="J265" t="s">
        <v>39</v>
      </c>
      <c r="K265" t="s">
        <v>51</v>
      </c>
      <c r="L265" t="s">
        <v>41</v>
      </c>
      <c r="M265" t="s">
        <v>109</v>
      </c>
      <c r="N265">
        <v>1</v>
      </c>
      <c r="O265">
        <v>2.56</v>
      </c>
      <c r="P265">
        <v>2.56</v>
      </c>
      <c r="Q265">
        <v>0.13</v>
      </c>
      <c r="R265">
        <v>2.4300000000000002</v>
      </c>
      <c r="S265">
        <v>1.1100000000000001</v>
      </c>
      <c r="T265">
        <v>1.32</v>
      </c>
      <c r="U265" t="s">
        <v>54</v>
      </c>
      <c r="V265" t="s">
        <v>55</v>
      </c>
      <c r="W265">
        <v>2</v>
      </c>
      <c r="X265" s="25" t="s">
        <v>490</v>
      </c>
    </row>
    <row r="266" spans="1:24" x14ac:dyDescent="0.55000000000000004">
      <c r="A266" t="s">
        <v>395</v>
      </c>
      <c r="B266" s="24">
        <v>45577</v>
      </c>
      <c r="C266" t="s">
        <v>383</v>
      </c>
      <c r="D266" t="s">
        <v>69</v>
      </c>
      <c r="E266" t="s">
        <v>486</v>
      </c>
      <c r="F266" t="s">
        <v>487</v>
      </c>
      <c r="G266" t="s">
        <v>114</v>
      </c>
      <c r="H266" t="s">
        <v>115</v>
      </c>
      <c r="I266" t="s">
        <v>116</v>
      </c>
      <c r="J266" t="s">
        <v>39</v>
      </c>
      <c r="K266" t="s">
        <v>51</v>
      </c>
      <c r="L266" t="s">
        <v>66</v>
      </c>
      <c r="M266" t="s">
        <v>95</v>
      </c>
      <c r="N266">
        <v>3</v>
      </c>
      <c r="O266">
        <v>2.0099999999999998</v>
      </c>
      <c r="P266">
        <v>6.03</v>
      </c>
      <c r="Q266">
        <v>0.9</v>
      </c>
      <c r="R266">
        <v>5.13</v>
      </c>
      <c r="S266">
        <v>2.69</v>
      </c>
      <c r="T266">
        <v>2.44</v>
      </c>
      <c r="U266" t="s">
        <v>123</v>
      </c>
      <c r="V266" t="s">
        <v>144</v>
      </c>
      <c r="W266">
        <v>5</v>
      </c>
      <c r="X266" s="25" t="s">
        <v>493</v>
      </c>
    </row>
    <row r="267" spans="1:24" x14ac:dyDescent="0.55000000000000004">
      <c r="A267" t="s">
        <v>396</v>
      </c>
      <c r="B267" s="24">
        <v>45580</v>
      </c>
      <c r="C267" t="s">
        <v>383</v>
      </c>
      <c r="D267" t="s">
        <v>81</v>
      </c>
      <c r="E267" t="s">
        <v>482</v>
      </c>
      <c r="F267" t="s">
        <v>483</v>
      </c>
      <c r="G267" t="s">
        <v>82</v>
      </c>
      <c r="H267" t="s">
        <v>83</v>
      </c>
      <c r="I267" t="s">
        <v>84</v>
      </c>
      <c r="J267" t="s">
        <v>39</v>
      </c>
      <c r="K267" t="s">
        <v>85</v>
      </c>
      <c r="L267" t="s">
        <v>100</v>
      </c>
      <c r="M267" t="s">
        <v>243</v>
      </c>
      <c r="N267">
        <v>1</v>
      </c>
      <c r="O267">
        <v>5.61</v>
      </c>
      <c r="P267">
        <v>5.61</v>
      </c>
      <c r="Q267">
        <v>0.84</v>
      </c>
      <c r="R267">
        <v>4.7699999999999996</v>
      </c>
      <c r="S267">
        <v>2.5099999999999998</v>
      </c>
      <c r="T267">
        <v>2.2599999999999998</v>
      </c>
      <c r="U267" t="s">
        <v>93</v>
      </c>
      <c r="V267" t="s">
        <v>55</v>
      </c>
      <c r="W267">
        <v>3</v>
      </c>
      <c r="X267" s="25" t="s">
        <v>493</v>
      </c>
    </row>
    <row r="268" spans="1:24" x14ac:dyDescent="0.55000000000000004">
      <c r="A268" t="s">
        <v>397</v>
      </c>
      <c r="B268" s="24">
        <v>45580</v>
      </c>
      <c r="C268" t="s">
        <v>383</v>
      </c>
      <c r="D268" t="s">
        <v>81</v>
      </c>
      <c r="E268" t="s">
        <v>484</v>
      </c>
      <c r="F268" t="s">
        <v>485</v>
      </c>
      <c r="G268" t="s">
        <v>76</v>
      </c>
      <c r="H268" t="s">
        <v>77</v>
      </c>
      <c r="I268" t="s">
        <v>38</v>
      </c>
      <c r="J268" t="s">
        <v>39</v>
      </c>
      <c r="K268" t="s">
        <v>40</v>
      </c>
      <c r="L268" t="s">
        <v>61</v>
      </c>
      <c r="M268" t="s">
        <v>121</v>
      </c>
      <c r="N268">
        <v>3</v>
      </c>
      <c r="O268">
        <v>9.67</v>
      </c>
      <c r="P268">
        <v>29.01</v>
      </c>
      <c r="Q268">
        <v>5.8</v>
      </c>
      <c r="R268">
        <v>23.21</v>
      </c>
      <c r="S268">
        <v>10.64</v>
      </c>
      <c r="T268">
        <v>12.57</v>
      </c>
      <c r="U268" t="s">
        <v>93</v>
      </c>
      <c r="V268" t="s">
        <v>63</v>
      </c>
      <c r="W268">
        <v>3</v>
      </c>
      <c r="X268" s="25" t="s">
        <v>492</v>
      </c>
    </row>
    <row r="269" spans="1:24" x14ac:dyDescent="0.55000000000000004">
      <c r="A269" t="s">
        <v>398</v>
      </c>
      <c r="B269" s="24">
        <v>45581</v>
      </c>
      <c r="C269" t="s">
        <v>383</v>
      </c>
      <c r="D269" t="s">
        <v>34</v>
      </c>
      <c r="E269" t="s">
        <v>488</v>
      </c>
      <c r="F269" t="s">
        <v>489</v>
      </c>
      <c r="G269" t="s">
        <v>36</v>
      </c>
      <c r="H269" t="s">
        <v>37</v>
      </c>
      <c r="I269" t="s">
        <v>38</v>
      </c>
      <c r="J269" t="s">
        <v>39</v>
      </c>
      <c r="K269" t="s">
        <v>40</v>
      </c>
      <c r="L269" t="s">
        <v>52</v>
      </c>
      <c r="M269" t="s">
        <v>71</v>
      </c>
      <c r="N269">
        <v>2</v>
      </c>
      <c r="O269">
        <v>4.04</v>
      </c>
      <c r="P269">
        <v>8.08</v>
      </c>
      <c r="Q269">
        <v>0.4</v>
      </c>
      <c r="R269">
        <v>7.68</v>
      </c>
      <c r="S269">
        <v>3.35</v>
      </c>
      <c r="T269">
        <v>4.33</v>
      </c>
      <c r="U269" t="s">
        <v>54</v>
      </c>
      <c r="V269" t="s">
        <v>44</v>
      </c>
      <c r="W269">
        <v>4</v>
      </c>
      <c r="X269" s="25" t="s">
        <v>490</v>
      </c>
    </row>
    <row r="270" spans="1:24" x14ac:dyDescent="0.55000000000000004">
      <c r="A270" t="s">
        <v>399</v>
      </c>
      <c r="B270" s="24">
        <v>45581</v>
      </c>
      <c r="C270" t="s">
        <v>383</v>
      </c>
      <c r="D270" t="s">
        <v>34</v>
      </c>
      <c r="E270" t="s">
        <v>486</v>
      </c>
      <c r="F270" t="s">
        <v>487</v>
      </c>
      <c r="G270" t="s">
        <v>82</v>
      </c>
      <c r="H270" t="s">
        <v>83</v>
      </c>
      <c r="I270" t="s">
        <v>84</v>
      </c>
      <c r="J270" t="s">
        <v>39</v>
      </c>
      <c r="K270" t="s">
        <v>85</v>
      </c>
      <c r="L270" t="s">
        <v>78</v>
      </c>
      <c r="M270" t="s">
        <v>79</v>
      </c>
      <c r="N270">
        <v>1</v>
      </c>
      <c r="O270">
        <v>3.4</v>
      </c>
      <c r="P270">
        <v>3.4</v>
      </c>
      <c r="Q270">
        <v>0</v>
      </c>
      <c r="R270">
        <v>3.4</v>
      </c>
      <c r="S270">
        <v>1.41</v>
      </c>
      <c r="T270">
        <v>1.99</v>
      </c>
      <c r="U270" t="s">
        <v>54</v>
      </c>
      <c r="V270" t="s">
        <v>144</v>
      </c>
      <c r="W270">
        <v>5</v>
      </c>
      <c r="X270" s="25" t="s">
        <v>490</v>
      </c>
    </row>
    <row r="271" spans="1:24" x14ac:dyDescent="0.55000000000000004">
      <c r="A271" t="s">
        <v>400</v>
      </c>
      <c r="B271" s="24">
        <v>45581</v>
      </c>
      <c r="C271" t="s">
        <v>383</v>
      </c>
      <c r="D271" t="s">
        <v>34</v>
      </c>
      <c r="E271" t="s">
        <v>484</v>
      </c>
      <c r="F271" t="s">
        <v>485</v>
      </c>
      <c r="G271" t="s">
        <v>131</v>
      </c>
      <c r="H271" t="s">
        <v>132</v>
      </c>
      <c r="I271" t="s">
        <v>133</v>
      </c>
      <c r="J271" t="s">
        <v>39</v>
      </c>
      <c r="K271" t="s">
        <v>134</v>
      </c>
      <c r="L271" t="s">
        <v>66</v>
      </c>
      <c r="M271" t="s">
        <v>95</v>
      </c>
      <c r="N271">
        <v>1</v>
      </c>
      <c r="O271">
        <v>1.94</v>
      </c>
      <c r="P271">
        <v>1.94</v>
      </c>
      <c r="Q271">
        <v>0</v>
      </c>
      <c r="R271">
        <v>1.94</v>
      </c>
      <c r="S271">
        <v>0.8</v>
      </c>
      <c r="T271">
        <v>1.1399999999999999</v>
      </c>
      <c r="U271" t="s">
        <v>123</v>
      </c>
      <c r="V271" t="s">
        <v>87</v>
      </c>
      <c r="W271">
        <v>4</v>
      </c>
      <c r="X271" s="25" t="s">
        <v>490</v>
      </c>
    </row>
    <row r="272" spans="1:24" x14ac:dyDescent="0.55000000000000004">
      <c r="A272" t="s">
        <v>401</v>
      </c>
      <c r="B272" s="24">
        <v>45581</v>
      </c>
      <c r="C272" t="s">
        <v>383</v>
      </c>
      <c r="D272" t="s">
        <v>34</v>
      </c>
      <c r="E272" t="s">
        <v>488</v>
      </c>
      <c r="F272" t="s">
        <v>489</v>
      </c>
      <c r="G272" t="s">
        <v>48</v>
      </c>
      <c r="H272" t="s">
        <v>49</v>
      </c>
      <c r="I272" t="s">
        <v>50</v>
      </c>
      <c r="J272" t="s">
        <v>39</v>
      </c>
      <c r="K272" t="s">
        <v>51</v>
      </c>
      <c r="L272" t="s">
        <v>66</v>
      </c>
      <c r="M272" t="s">
        <v>107</v>
      </c>
      <c r="N272">
        <v>1</v>
      </c>
      <c r="O272">
        <v>3.82</v>
      </c>
      <c r="P272">
        <v>3.82</v>
      </c>
      <c r="Q272">
        <v>0.38</v>
      </c>
      <c r="R272">
        <v>3.44</v>
      </c>
      <c r="S272">
        <v>1.22</v>
      </c>
      <c r="T272">
        <v>2.2200000000000002</v>
      </c>
      <c r="U272" t="s">
        <v>93</v>
      </c>
      <c r="V272" t="s">
        <v>63</v>
      </c>
      <c r="W272">
        <v>1</v>
      </c>
      <c r="X272" s="25" t="s">
        <v>491</v>
      </c>
    </row>
    <row r="273" spans="1:24" x14ac:dyDescent="0.55000000000000004">
      <c r="A273" t="s">
        <v>402</v>
      </c>
      <c r="B273" s="24">
        <v>45582</v>
      </c>
      <c r="C273" t="s">
        <v>383</v>
      </c>
      <c r="D273" t="s">
        <v>46</v>
      </c>
      <c r="E273" t="s">
        <v>488</v>
      </c>
      <c r="F273" t="s">
        <v>489</v>
      </c>
      <c r="G273" t="s">
        <v>131</v>
      </c>
      <c r="H273" t="s">
        <v>132</v>
      </c>
      <c r="I273" t="s">
        <v>133</v>
      </c>
      <c r="J273" t="s">
        <v>39</v>
      </c>
      <c r="K273" t="s">
        <v>134</v>
      </c>
      <c r="L273" t="s">
        <v>100</v>
      </c>
      <c r="M273" t="s">
        <v>185</v>
      </c>
      <c r="N273">
        <v>1</v>
      </c>
      <c r="O273">
        <v>6.59</v>
      </c>
      <c r="P273">
        <v>6.59</v>
      </c>
      <c r="Q273">
        <v>0</v>
      </c>
      <c r="R273">
        <v>6.59</v>
      </c>
      <c r="S273">
        <v>2.41</v>
      </c>
      <c r="T273">
        <v>4.18</v>
      </c>
      <c r="U273" t="s">
        <v>72</v>
      </c>
      <c r="V273" t="s">
        <v>73</v>
      </c>
      <c r="W273">
        <v>4</v>
      </c>
      <c r="X273" s="25" t="s">
        <v>490</v>
      </c>
    </row>
    <row r="274" spans="1:24" x14ac:dyDescent="0.55000000000000004">
      <c r="A274" t="s">
        <v>403</v>
      </c>
      <c r="B274" s="24">
        <v>45582</v>
      </c>
      <c r="C274" t="s">
        <v>383</v>
      </c>
      <c r="D274" t="s">
        <v>46</v>
      </c>
      <c r="E274" t="s">
        <v>486</v>
      </c>
      <c r="F274" t="s">
        <v>487</v>
      </c>
      <c r="G274" t="s">
        <v>36</v>
      </c>
      <c r="H274" t="s">
        <v>37</v>
      </c>
      <c r="I274" t="s">
        <v>38</v>
      </c>
      <c r="J274" t="s">
        <v>39</v>
      </c>
      <c r="K274" t="s">
        <v>40</v>
      </c>
      <c r="L274" t="s">
        <v>41</v>
      </c>
      <c r="M274" t="s">
        <v>125</v>
      </c>
      <c r="N274">
        <v>4</v>
      </c>
      <c r="O274">
        <v>2.86</v>
      </c>
      <c r="P274">
        <v>11.44</v>
      </c>
      <c r="Q274">
        <v>1.1399999999999999</v>
      </c>
      <c r="R274">
        <v>10.3</v>
      </c>
      <c r="S274">
        <v>4.67</v>
      </c>
      <c r="T274">
        <v>5.63</v>
      </c>
      <c r="U274" t="s">
        <v>102</v>
      </c>
      <c r="V274" t="s">
        <v>63</v>
      </c>
      <c r="W274">
        <v>3</v>
      </c>
      <c r="X274" s="25" t="s">
        <v>491</v>
      </c>
    </row>
    <row r="275" spans="1:24" x14ac:dyDescent="0.55000000000000004">
      <c r="A275" t="s">
        <v>404</v>
      </c>
      <c r="B275" s="24">
        <v>45583</v>
      </c>
      <c r="C275" t="s">
        <v>383</v>
      </c>
      <c r="D275" t="s">
        <v>57</v>
      </c>
      <c r="E275" t="s">
        <v>486</v>
      </c>
      <c r="F275" t="s">
        <v>487</v>
      </c>
      <c r="G275" t="s">
        <v>36</v>
      </c>
      <c r="H275" t="s">
        <v>37</v>
      </c>
      <c r="I275" t="s">
        <v>38</v>
      </c>
      <c r="J275" t="s">
        <v>39</v>
      </c>
      <c r="K275" t="s">
        <v>40</v>
      </c>
      <c r="L275" t="s">
        <v>61</v>
      </c>
      <c r="M275" t="s">
        <v>62</v>
      </c>
      <c r="N275">
        <v>2</v>
      </c>
      <c r="O275">
        <v>10.44</v>
      </c>
      <c r="P275">
        <v>20.88</v>
      </c>
      <c r="Q275">
        <v>1.04</v>
      </c>
      <c r="R275">
        <v>19.84</v>
      </c>
      <c r="S275">
        <v>9.02</v>
      </c>
      <c r="T275">
        <v>10.82</v>
      </c>
      <c r="U275" t="s">
        <v>123</v>
      </c>
      <c r="V275" t="s">
        <v>44</v>
      </c>
      <c r="W275">
        <v>5</v>
      </c>
      <c r="X275" s="25" t="s">
        <v>490</v>
      </c>
    </row>
    <row r="276" spans="1:24" x14ac:dyDescent="0.55000000000000004">
      <c r="A276" t="s">
        <v>405</v>
      </c>
      <c r="B276" s="24">
        <v>45584</v>
      </c>
      <c r="C276" t="s">
        <v>383</v>
      </c>
      <c r="D276" t="s">
        <v>69</v>
      </c>
      <c r="E276" t="s">
        <v>484</v>
      </c>
      <c r="F276" t="s">
        <v>485</v>
      </c>
      <c r="G276" t="s">
        <v>48</v>
      </c>
      <c r="H276" t="s">
        <v>49</v>
      </c>
      <c r="I276" t="s">
        <v>50</v>
      </c>
      <c r="J276" t="s">
        <v>39</v>
      </c>
      <c r="K276" t="s">
        <v>51</v>
      </c>
      <c r="L276" t="s">
        <v>78</v>
      </c>
      <c r="M276" t="s">
        <v>138</v>
      </c>
      <c r="N276">
        <v>3</v>
      </c>
      <c r="O276">
        <v>4.49</v>
      </c>
      <c r="P276">
        <v>13.47</v>
      </c>
      <c r="Q276">
        <v>0</v>
      </c>
      <c r="R276">
        <v>13.47</v>
      </c>
      <c r="S276">
        <v>5.15</v>
      </c>
      <c r="T276">
        <v>8.32</v>
      </c>
      <c r="U276" t="s">
        <v>93</v>
      </c>
      <c r="V276" t="s">
        <v>87</v>
      </c>
      <c r="W276">
        <v>5</v>
      </c>
      <c r="X276" s="25" t="s">
        <v>490</v>
      </c>
    </row>
    <row r="277" spans="1:24" x14ac:dyDescent="0.55000000000000004">
      <c r="A277" t="s">
        <v>406</v>
      </c>
      <c r="B277" s="24">
        <v>45584</v>
      </c>
      <c r="C277" t="s">
        <v>383</v>
      </c>
      <c r="D277" t="s">
        <v>69</v>
      </c>
      <c r="E277" t="s">
        <v>486</v>
      </c>
      <c r="F277" t="s">
        <v>487</v>
      </c>
      <c r="G277" t="s">
        <v>114</v>
      </c>
      <c r="H277" t="s">
        <v>115</v>
      </c>
      <c r="I277" t="s">
        <v>116</v>
      </c>
      <c r="J277" t="s">
        <v>39</v>
      </c>
      <c r="K277" t="s">
        <v>51</v>
      </c>
      <c r="L277" t="s">
        <v>61</v>
      </c>
      <c r="M277" t="s">
        <v>62</v>
      </c>
      <c r="N277">
        <v>2</v>
      </c>
      <c r="O277">
        <v>10.57</v>
      </c>
      <c r="P277">
        <v>21.14</v>
      </c>
      <c r="Q277">
        <v>0</v>
      </c>
      <c r="R277">
        <v>21.14</v>
      </c>
      <c r="S277">
        <v>11.44</v>
      </c>
      <c r="T277">
        <v>9.6999999999999993</v>
      </c>
      <c r="U277" t="s">
        <v>72</v>
      </c>
      <c r="V277" t="s">
        <v>44</v>
      </c>
      <c r="W277">
        <v>4</v>
      </c>
      <c r="X277" s="25" t="s">
        <v>490</v>
      </c>
    </row>
    <row r="278" spans="1:24" x14ac:dyDescent="0.55000000000000004">
      <c r="A278" t="s">
        <v>407</v>
      </c>
      <c r="B278" s="24">
        <v>45586</v>
      </c>
      <c r="C278" t="s">
        <v>383</v>
      </c>
      <c r="D278" t="s">
        <v>75</v>
      </c>
      <c r="E278" t="s">
        <v>486</v>
      </c>
      <c r="F278" t="s">
        <v>487</v>
      </c>
      <c r="G278" t="s">
        <v>114</v>
      </c>
      <c r="H278" t="s">
        <v>115</v>
      </c>
      <c r="I278" t="s">
        <v>116</v>
      </c>
      <c r="J278" t="s">
        <v>39</v>
      </c>
      <c r="K278" t="s">
        <v>51</v>
      </c>
      <c r="L278" t="s">
        <v>78</v>
      </c>
      <c r="M278" t="s">
        <v>143</v>
      </c>
      <c r="N278">
        <v>4</v>
      </c>
      <c r="O278">
        <v>2.76</v>
      </c>
      <c r="P278">
        <v>11.04</v>
      </c>
      <c r="Q278">
        <v>0</v>
      </c>
      <c r="R278">
        <v>11.04</v>
      </c>
      <c r="S278">
        <v>5.83</v>
      </c>
      <c r="T278">
        <v>5.21</v>
      </c>
      <c r="U278" t="s">
        <v>72</v>
      </c>
      <c r="V278" t="s">
        <v>87</v>
      </c>
      <c r="W278">
        <v>5</v>
      </c>
      <c r="X278" s="25" t="s">
        <v>490</v>
      </c>
    </row>
    <row r="279" spans="1:24" x14ac:dyDescent="0.55000000000000004">
      <c r="A279" t="s">
        <v>408</v>
      </c>
      <c r="B279" s="24">
        <v>45587</v>
      </c>
      <c r="C279" t="s">
        <v>383</v>
      </c>
      <c r="D279" t="s">
        <v>81</v>
      </c>
      <c r="E279" t="s">
        <v>486</v>
      </c>
      <c r="F279" t="s">
        <v>487</v>
      </c>
      <c r="G279" t="s">
        <v>58</v>
      </c>
      <c r="H279" t="s">
        <v>59</v>
      </c>
      <c r="I279" t="s">
        <v>60</v>
      </c>
      <c r="J279" t="s">
        <v>39</v>
      </c>
      <c r="K279" t="s">
        <v>40</v>
      </c>
      <c r="L279" t="s">
        <v>52</v>
      </c>
      <c r="M279" t="s">
        <v>53</v>
      </c>
      <c r="N279">
        <v>1</v>
      </c>
      <c r="O279">
        <v>2.4300000000000002</v>
      </c>
      <c r="P279">
        <v>2.4300000000000002</v>
      </c>
      <c r="Q279">
        <v>0.24</v>
      </c>
      <c r="R279">
        <v>2.19</v>
      </c>
      <c r="S279">
        <v>1.1000000000000001</v>
      </c>
      <c r="T279">
        <v>1.0900000000000001</v>
      </c>
      <c r="U279" t="s">
        <v>72</v>
      </c>
      <c r="V279" t="s">
        <v>87</v>
      </c>
      <c r="W279">
        <v>4</v>
      </c>
      <c r="X279" s="25" t="s">
        <v>491</v>
      </c>
    </row>
    <row r="280" spans="1:24" x14ac:dyDescent="0.55000000000000004">
      <c r="A280" t="s">
        <v>409</v>
      </c>
      <c r="B280" s="24">
        <v>45588</v>
      </c>
      <c r="C280" t="s">
        <v>383</v>
      </c>
      <c r="D280" t="s">
        <v>34</v>
      </c>
      <c r="E280" t="s">
        <v>484</v>
      </c>
      <c r="F280" t="s">
        <v>485</v>
      </c>
      <c r="G280" t="s">
        <v>82</v>
      </c>
      <c r="H280" t="s">
        <v>83</v>
      </c>
      <c r="I280" t="s">
        <v>84</v>
      </c>
      <c r="J280" t="s">
        <v>39</v>
      </c>
      <c r="K280" t="s">
        <v>85</v>
      </c>
      <c r="L280" t="s">
        <v>100</v>
      </c>
      <c r="M280" t="s">
        <v>117</v>
      </c>
      <c r="N280">
        <v>1</v>
      </c>
      <c r="O280">
        <v>3.2</v>
      </c>
      <c r="P280">
        <v>3.2</v>
      </c>
      <c r="Q280">
        <v>0.64</v>
      </c>
      <c r="R280">
        <v>2.56</v>
      </c>
      <c r="S280">
        <v>1.37</v>
      </c>
      <c r="T280">
        <v>1.19</v>
      </c>
      <c r="U280" t="s">
        <v>102</v>
      </c>
      <c r="V280" t="s">
        <v>63</v>
      </c>
      <c r="W280">
        <v>4</v>
      </c>
      <c r="X280" s="25" t="s">
        <v>492</v>
      </c>
    </row>
    <row r="281" spans="1:24" x14ac:dyDescent="0.55000000000000004">
      <c r="A281" t="s">
        <v>410</v>
      </c>
      <c r="B281" s="24">
        <v>45592</v>
      </c>
      <c r="C281" t="s">
        <v>383</v>
      </c>
      <c r="D281" t="s">
        <v>99</v>
      </c>
      <c r="E281" t="s">
        <v>484</v>
      </c>
      <c r="F281" t="s">
        <v>485</v>
      </c>
      <c r="G281" t="s">
        <v>89</v>
      </c>
      <c r="H281" t="s">
        <v>90</v>
      </c>
      <c r="I281" t="s">
        <v>91</v>
      </c>
      <c r="J281" t="s">
        <v>39</v>
      </c>
      <c r="K281" t="s">
        <v>92</v>
      </c>
      <c r="L281" t="s">
        <v>61</v>
      </c>
      <c r="M281" t="s">
        <v>161</v>
      </c>
      <c r="N281">
        <v>2</v>
      </c>
      <c r="O281">
        <v>10.93</v>
      </c>
      <c r="P281">
        <v>21.86</v>
      </c>
      <c r="Q281">
        <v>3.28</v>
      </c>
      <c r="R281">
        <v>18.579999999999998</v>
      </c>
      <c r="S281">
        <v>10</v>
      </c>
      <c r="T281">
        <v>8.58</v>
      </c>
      <c r="U281" t="s">
        <v>72</v>
      </c>
      <c r="V281" t="s">
        <v>73</v>
      </c>
      <c r="W281">
        <v>5</v>
      </c>
      <c r="X281" s="25" t="s">
        <v>493</v>
      </c>
    </row>
    <row r="282" spans="1:24" x14ac:dyDescent="0.55000000000000004">
      <c r="A282" t="s">
        <v>411</v>
      </c>
      <c r="B282" s="24">
        <v>45593</v>
      </c>
      <c r="C282" t="s">
        <v>383</v>
      </c>
      <c r="D282" t="s">
        <v>75</v>
      </c>
      <c r="E282" t="s">
        <v>486</v>
      </c>
      <c r="F282" t="s">
        <v>487</v>
      </c>
      <c r="G282" t="s">
        <v>163</v>
      </c>
      <c r="H282" t="s">
        <v>164</v>
      </c>
      <c r="I282" t="s">
        <v>165</v>
      </c>
      <c r="J282" t="s">
        <v>39</v>
      </c>
      <c r="K282" t="s">
        <v>85</v>
      </c>
      <c r="L282" t="s">
        <v>52</v>
      </c>
      <c r="M282" t="s">
        <v>169</v>
      </c>
      <c r="N282">
        <v>2</v>
      </c>
      <c r="O282">
        <v>2.93</v>
      </c>
      <c r="P282">
        <v>5.86</v>
      </c>
      <c r="Q282">
        <v>0</v>
      </c>
      <c r="R282">
        <v>5.86</v>
      </c>
      <c r="S282">
        <v>2.29</v>
      </c>
      <c r="T282">
        <v>3.57</v>
      </c>
      <c r="U282" t="s">
        <v>93</v>
      </c>
      <c r="V282" t="s">
        <v>144</v>
      </c>
      <c r="W282">
        <v>4</v>
      </c>
      <c r="X282" s="25" t="s">
        <v>490</v>
      </c>
    </row>
    <row r="283" spans="1:24" x14ac:dyDescent="0.55000000000000004">
      <c r="A283" t="s">
        <v>412</v>
      </c>
      <c r="B283" s="24">
        <v>45593</v>
      </c>
      <c r="C283" t="s">
        <v>383</v>
      </c>
      <c r="D283" t="s">
        <v>75</v>
      </c>
      <c r="E283" t="s">
        <v>488</v>
      </c>
      <c r="F283" t="s">
        <v>489</v>
      </c>
      <c r="G283" t="s">
        <v>114</v>
      </c>
      <c r="H283" t="s">
        <v>115</v>
      </c>
      <c r="I283" t="s">
        <v>116</v>
      </c>
      <c r="J283" t="s">
        <v>39</v>
      </c>
      <c r="K283" t="s">
        <v>51</v>
      </c>
      <c r="L283" t="s">
        <v>61</v>
      </c>
      <c r="M283" t="s">
        <v>62</v>
      </c>
      <c r="N283">
        <v>1</v>
      </c>
      <c r="O283">
        <v>10.37</v>
      </c>
      <c r="P283">
        <v>10.37</v>
      </c>
      <c r="Q283">
        <v>0</v>
      </c>
      <c r="R283">
        <v>10.37</v>
      </c>
      <c r="S283">
        <v>4.32</v>
      </c>
      <c r="T283">
        <v>6.05</v>
      </c>
      <c r="U283" t="s">
        <v>93</v>
      </c>
      <c r="V283" t="s">
        <v>144</v>
      </c>
      <c r="W283">
        <v>5</v>
      </c>
      <c r="X283" s="25" t="s">
        <v>490</v>
      </c>
    </row>
    <row r="284" spans="1:24" x14ac:dyDescent="0.55000000000000004">
      <c r="A284" t="s">
        <v>413</v>
      </c>
      <c r="B284" s="24">
        <v>45595</v>
      </c>
      <c r="C284" t="s">
        <v>383</v>
      </c>
      <c r="D284" t="s">
        <v>34</v>
      </c>
      <c r="E284" t="s">
        <v>482</v>
      </c>
      <c r="F284" t="s">
        <v>483</v>
      </c>
      <c r="G284" t="s">
        <v>36</v>
      </c>
      <c r="H284" t="s">
        <v>37</v>
      </c>
      <c r="I284" t="s">
        <v>38</v>
      </c>
      <c r="J284" t="s">
        <v>39</v>
      </c>
      <c r="K284" t="s">
        <v>40</v>
      </c>
      <c r="L284" t="s">
        <v>100</v>
      </c>
      <c r="M284" t="s">
        <v>215</v>
      </c>
      <c r="N284">
        <v>3</v>
      </c>
      <c r="O284">
        <v>8.16</v>
      </c>
      <c r="P284">
        <v>24.48</v>
      </c>
      <c r="Q284">
        <v>1.22</v>
      </c>
      <c r="R284">
        <v>23.26</v>
      </c>
      <c r="S284">
        <v>8.6999999999999993</v>
      </c>
      <c r="T284">
        <v>14.56</v>
      </c>
      <c r="U284" t="s">
        <v>43</v>
      </c>
      <c r="V284" t="s">
        <v>144</v>
      </c>
      <c r="W284">
        <v>4</v>
      </c>
      <c r="X284" s="25" t="s">
        <v>490</v>
      </c>
    </row>
    <row r="285" spans="1:24" x14ac:dyDescent="0.55000000000000004">
      <c r="A285" t="s">
        <v>414</v>
      </c>
      <c r="B285" s="24">
        <v>45595</v>
      </c>
      <c r="C285" t="s">
        <v>383</v>
      </c>
      <c r="D285" t="s">
        <v>34</v>
      </c>
      <c r="E285" t="s">
        <v>486</v>
      </c>
      <c r="F285" t="s">
        <v>487</v>
      </c>
      <c r="G285" t="s">
        <v>58</v>
      </c>
      <c r="H285" t="s">
        <v>59</v>
      </c>
      <c r="I285" t="s">
        <v>60</v>
      </c>
      <c r="J285" t="s">
        <v>39</v>
      </c>
      <c r="K285" t="s">
        <v>40</v>
      </c>
      <c r="L285" t="s">
        <v>66</v>
      </c>
      <c r="M285" t="s">
        <v>86</v>
      </c>
      <c r="N285">
        <v>3</v>
      </c>
      <c r="O285">
        <v>3.7</v>
      </c>
      <c r="P285">
        <v>11.1</v>
      </c>
      <c r="Q285">
        <v>1.66</v>
      </c>
      <c r="R285">
        <v>9.44</v>
      </c>
      <c r="S285">
        <v>3.76</v>
      </c>
      <c r="T285">
        <v>5.68</v>
      </c>
      <c r="U285" t="s">
        <v>72</v>
      </c>
      <c r="V285" t="s">
        <v>87</v>
      </c>
      <c r="W285">
        <v>5</v>
      </c>
      <c r="X285" s="25" t="s">
        <v>493</v>
      </c>
    </row>
    <row r="286" spans="1:24" x14ac:dyDescent="0.55000000000000004">
      <c r="A286" t="s">
        <v>415</v>
      </c>
      <c r="B286" s="24">
        <v>45597</v>
      </c>
      <c r="C286" t="s">
        <v>383</v>
      </c>
      <c r="D286" t="s">
        <v>57</v>
      </c>
      <c r="E286" t="s">
        <v>488</v>
      </c>
      <c r="F286" t="s">
        <v>489</v>
      </c>
      <c r="G286" t="s">
        <v>89</v>
      </c>
      <c r="H286" t="s">
        <v>90</v>
      </c>
      <c r="I286" t="s">
        <v>91</v>
      </c>
      <c r="J286" t="s">
        <v>39</v>
      </c>
      <c r="K286" t="s">
        <v>92</v>
      </c>
      <c r="L286" t="s">
        <v>66</v>
      </c>
      <c r="M286" t="s">
        <v>183</v>
      </c>
      <c r="N286">
        <v>2</v>
      </c>
      <c r="O286">
        <v>1.48</v>
      </c>
      <c r="P286">
        <v>2.96</v>
      </c>
      <c r="Q286">
        <v>0.3</v>
      </c>
      <c r="R286">
        <v>2.66</v>
      </c>
      <c r="S286">
        <v>0.99</v>
      </c>
      <c r="T286">
        <v>1.67</v>
      </c>
      <c r="U286" t="s">
        <v>54</v>
      </c>
      <c r="V286" t="s">
        <v>73</v>
      </c>
      <c r="W286">
        <v>5</v>
      </c>
      <c r="X286" s="25" t="s">
        <v>491</v>
      </c>
    </row>
    <row r="287" spans="1:24" x14ac:dyDescent="0.55000000000000004">
      <c r="A287" t="s">
        <v>416</v>
      </c>
      <c r="B287" s="24">
        <v>45597</v>
      </c>
      <c r="C287" t="s">
        <v>383</v>
      </c>
      <c r="D287" t="s">
        <v>57</v>
      </c>
      <c r="E287" t="s">
        <v>486</v>
      </c>
      <c r="F287" t="s">
        <v>487</v>
      </c>
      <c r="G287" t="s">
        <v>104</v>
      </c>
      <c r="H287" t="s">
        <v>105</v>
      </c>
      <c r="I287" t="s">
        <v>106</v>
      </c>
      <c r="J287" t="s">
        <v>39</v>
      </c>
      <c r="K287" t="s">
        <v>85</v>
      </c>
      <c r="L287" t="s">
        <v>100</v>
      </c>
      <c r="M287" t="s">
        <v>101</v>
      </c>
      <c r="N287">
        <v>1</v>
      </c>
      <c r="O287">
        <v>3.41</v>
      </c>
      <c r="P287">
        <v>3.41</v>
      </c>
      <c r="Q287">
        <v>0.17</v>
      </c>
      <c r="R287">
        <v>3.24</v>
      </c>
      <c r="S287">
        <v>1.18</v>
      </c>
      <c r="T287">
        <v>2.06</v>
      </c>
      <c r="U287" t="s">
        <v>43</v>
      </c>
      <c r="V287" t="s">
        <v>44</v>
      </c>
      <c r="W287">
        <v>3</v>
      </c>
      <c r="X287" s="25" t="s">
        <v>490</v>
      </c>
    </row>
    <row r="288" spans="1:24" x14ac:dyDescent="0.55000000000000004">
      <c r="A288" t="s">
        <v>417</v>
      </c>
      <c r="B288" s="24">
        <v>45598</v>
      </c>
      <c r="C288" t="s">
        <v>383</v>
      </c>
      <c r="D288" t="s">
        <v>69</v>
      </c>
      <c r="E288" t="s">
        <v>488</v>
      </c>
      <c r="F288" t="s">
        <v>489</v>
      </c>
      <c r="G288" t="s">
        <v>104</v>
      </c>
      <c r="H288" t="s">
        <v>105</v>
      </c>
      <c r="I288" t="s">
        <v>106</v>
      </c>
      <c r="J288" t="s">
        <v>39</v>
      </c>
      <c r="K288" t="s">
        <v>85</v>
      </c>
      <c r="L288" t="s">
        <v>41</v>
      </c>
      <c r="M288" t="s">
        <v>154</v>
      </c>
      <c r="N288">
        <v>1</v>
      </c>
      <c r="O288">
        <v>1.48</v>
      </c>
      <c r="P288">
        <v>1.48</v>
      </c>
      <c r="Q288">
        <v>7.0000000000000007E-2</v>
      </c>
      <c r="R288">
        <v>1.41</v>
      </c>
      <c r="S288">
        <v>0.71</v>
      </c>
      <c r="T288">
        <v>0.7</v>
      </c>
      <c r="U288" t="s">
        <v>102</v>
      </c>
      <c r="V288" t="s">
        <v>44</v>
      </c>
      <c r="W288">
        <v>5</v>
      </c>
      <c r="X288" s="25" t="s">
        <v>490</v>
      </c>
    </row>
    <row r="289" spans="1:24" x14ac:dyDescent="0.55000000000000004">
      <c r="A289" t="s">
        <v>418</v>
      </c>
      <c r="B289" s="24">
        <v>45599</v>
      </c>
      <c r="C289" t="s">
        <v>383</v>
      </c>
      <c r="D289" t="s">
        <v>99</v>
      </c>
      <c r="E289" t="s">
        <v>488</v>
      </c>
      <c r="F289" t="s">
        <v>489</v>
      </c>
      <c r="G289" t="s">
        <v>58</v>
      </c>
      <c r="H289" t="s">
        <v>59</v>
      </c>
      <c r="I289" t="s">
        <v>60</v>
      </c>
      <c r="J289" t="s">
        <v>39</v>
      </c>
      <c r="K289" t="s">
        <v>40</v>
      </c>
      <c r="L289" t="s">
        <v>66</v>
      </c>
      <c r="M289" t="s">
        <v>107</v>
      </c>
      <c r="N289">
        <v>2</v>
      </c>
      <c r="O289">
        <v>3.72</v>
      </c>
      <c r="P289">
        <v>7.44</v>
      </c>
      <c r="Q289">
        <v>0.37</v>
      </c>
      <c r="R289">
        <v>7.07</v>
      </c>
      <c r="S289">
        <v>2.79</v>
      </c>
      <c r="T289">
        <v>4.28</v>
      </c>
      <c r="U289" t="s">
        <v>102</v>
      </c>
      <c r="V289" t="s">
        <v>55</v>
      </c>
      <c r="W289">
        <v>4</v>
      </c>
      <c r="X289" s="25" t="s">
        <v>490</v>
      </c>
    </row>
    <row r="290" spans="1:24" x14ac:dyDescent="0.55000000000000004">
      <c r="A290" t="s">
        <v>419</v>
      </c>
      <c r="B290" s="24">
        <v>45600</v>
      </c>
      <c r="C290" t="s">
        <v>383</v>
      </c>
      <c r="D290" t="s">
        <v>75</v>
      </c>
      <c r="E290" t="s">
        <v>484</v>
      </c>
      <c r="F290" t="s">
        <v>485</v>
      </c>
      <c r="G290" t="s">
        <v>36</v>
      </c>
      <c r="H290" t="s">
        <v>37</v>
      </c>
      <c r="I290" t="s">
        <v>38</v>
      </c>
      <c r="J290" t="s">
        <v>39</v>
      </c>
      <c r="K290" t="s">
        <v>40</v>
      </c>
      <c r="L290" t="s">
        <v>78</v>
      </c>
      <c r="M290" t="s">
        <v>79</v>
      </c>
      <c r="N290">
        <v>1</v>
      </c>
      <c r="O290">
        <v>3.49</v>
      </c>
      <c r="P290">
        <v>3.49</v>
      </c>
      <c r="Q290">
        <v>0</v>
      </c>
      <c r="R290">
        <v>3.49</v>
      </c>
      <c r="S290">
        <v>1.69</v>
      </c>
      <c r="T290">
        <v>1.8</v>
      </c>
      <c r="U290" t="s">
        <v>72</v>
      </c>
      <c r="V290" t="s">
        <v>73</v>
      </c>
      <c r="W290">
        <v>5</v>
      </c>
      <c r="X290" s="25" t="s">
        <v>490</v>
      </c>
    </row>
    <row r="291" spans="1:24" x14ac:dyDescent="0.55000000000000004">
      <c r="A291" t="s">
        <v>420</v>
      </c>
      <c r="B291" s="24">
        <v>45600</v>
      </c>
      <c r="C291" t="s">
        <v>383</v>
      </c>
      <c r="D291" t="s">
        <v>75</v>
      </c>
      <c r="E291" t="s">
        <v>486</v>
      </c>
      <c r="F291" t="s">
        <v>487</v>
      </c>
      <c r="G291" t="s">
        <v>76</v>
      </c>
      <c r="H291" t="s">
        <v>77</v>
      </c>
      <c r="I291" t="s">
        <v>38</v>
      </c>
      <c r="J291" t="s">
        <v>39</v>
      </c>
      <c r="K291" t="s">
        <v>40</v>
      </c>
      <c r="L291" t="s">
        <v>52</v>
      </c>
      <c r="M291" t="s">
        <v>135</v>
      </c>
      <c r="N291">
        <v>1</v>
      </c>
      <c r="O291">
        <v>2.02</v>
      </c>
      <c r="P291">
        <v>2.02</v>
      </c>
      <c r="Q291">
        <v>0</v>
      </c>
      <c r="R291">
        <v>2.02</v>
      </c>
      <c r="S291">
        <v>1.01</v>
      </c>
      <c r="T291">
        <v>1.01</v>
      </c>
      <c r="U291" t="s">
        <v>43</v>
      </c>
      <c r="V291" t="s">
        <v>63</v>
      </c>
      <c r="W291">
        <v>5</v>
      </c>
      <c r="X291" s="25" t="s">
        <v>490</v>
      </c>
    </row>
    <row r="292" spans="1:24" x14ac:dyDescent="0.55000000000000004">
      <c r="A292" t="s">
        <v>421</v>
      </c>
      <c r="B292" s="24">
        <v>45602</v>
      </c>
      <c r="C292" t="s">
        <v>383</v>
      </c>
      <c r="D292" t="s">
        <v>34</v>
      </c>
      <c r="E292" t="s">
        <v>486</v>
      </c>
      <c r="F292" t="s">
        <v>487</v>
      </c>
      <c r="G292" t="s">
        <v>163</v>
      </c>
      <c r="H292" t="s">
        <v>164</v>
      </c>
      <c r="I292" t="s">
        <v>165</v>
      </c>
      <c r="J292" t="s">
        <v>39</v>
      </c>
      <c r="K292" t="s">
        <v>85</v>
      </c>
      <c r="L292" t="s">
        <v>78</v>
      </c>
      <c r="M292" t="s">
        <v>97</v>
      </c>
      <c r="N292">
        <v>4</v>
      </c>
      <c r="O292">
        <v>3.34</v>
      </c>
      <c r="P292">
        <v>13.36</v>
      </c>
      <c r="Q292">
        <v>1.34</v>
      </c>
      <c r="R292">
        <v>12.02</v>
      </c>
      <c r="S292">
        <v>6.19</v>
      </c>
      <c r="T292">
        <v>5.83</v>
      </c>
      <c r="U292" t="s">
        <v>93</v>
      </c>
      <c r="V292" t="s">
        <v>73</v>
      </c>
      <c r="W292">
        <v>5</v>
      </c>
      <c r="X292" s="25" t="s">
        <v>491</v>
      </c>
    </row>
    <row r="293" spans="1:24" x14ac:dyDescent="0.55000000000000004">
      <c r="A293" t="s">
        <v>422</v>
      </c>
      <c r="B293" s="24">
        <v>45603</v>
      </c>
      <c r="C293" t="s">
        <v>383</v>
      </c>
      <c r="D293" t="s">
        <v>46</v>
      </c>
      <c r="E293" t="s">
        <v>482</v>
      </c>
      <c r="F293" t="s">
        <v>483</v>
      </c>
      <c r="G293" t="s">
        <v>36</v>
      </c>
      <c r="H293" t="s">
        <v>37</v>
      </c>
      <c r="I293" t="s">
        <v>38</v>
      </c>
      <c r="J293" t="s">
        <v>39</v>
      </c>
      <c r="K293" t="s">
        <v>40</v>
      </c>
      <c r="L293" t="s">
        <v>66</v>
      </c>
      <c r="M293" t="s">
        <v>67</v>
      </c>
      <c r="N293">
        <v>5</v>
      </c>
      <c r="O293">
        <v>0.99</v>
      </c>
      <c r="P293">
        <v>4.95</v>
      </c>
      <c r="Q293">
        <v>0</v>
      </c>
      <c r="R293">
        <v>4.95</v>
      </c>
      <c r="S293">
        <v>1.89</v>
      </c>
      <c r="T293">
        <v>3.06</v>
      </c>
      <c r="U293" t="s">
        <v>43</v>
      </c>
      <c r="V293" t="s">
        <v>63</v>
      </c>
      <c r="W293">
        <v>5</v>
      </c>
      <c r="X293" s="25" t="s">
        <v>490</v>
      </c>
    </row>
    <row r="294" spans="1:24" x14ac:dyDescent="0.55000000000000004">
      <c r="A294" t="s">
        <v>423</v>
      </c>
      <c r="B294" s="24">
        <v>45607</v>
      </c>
      <c r="C294" t="s">
        <v>383</v>
      </c>
      <c r="D294" t="s">
        <v>75</v>
      </c>
      <c r="E294" t="s">
        <v>486</v>
      </c>
      <c r="F294" t="s">
        <v>487</v>
      </c>
      <c r="G294" t="s">
        <v>131</v>
      </c>
      <c r="H294" t="s">
        <v>132</v>
      </c>
      <c r="I294" t="s">
        <v>133</v>
      </c>
      <c r="J294" t="s">
        <v>39</v>
      </c>
      <c r="K294" t="s">
        <v>134</v>
      </c>
      <c r="L294" t="s">
        <v>66</v>
      </c>
      <c r="M294" t="s">
        <v>183</v>
      </c>
      <c r="N294">
        <v>2</v>
      </c>
      <c r="O294">
        <v>1.45</v>
      </c>
      <c r="P294">
        <v>2.9</v>
      </c>
      <c r="Q294">
        <v>0</v>
      </c>
      <c r="R294">
        <v>2.9</v>
      </c>
      <c r="S294">
        <v>1.26</v>
      </c>
      <c r="T294">
        <v>1.64</v>
      </c>
      <c r="U294" t="s">
        <v>43</v>
      </c>
      <c r="V294" t="s">
        <v>87</v>
      </c>
      <c r="W294">
        <v>4</v>
      </c>
      <c r="X294" s="25" t="s">
        <v>490</v>
      </c>
    </row>
    <row r="295" spans="1:24" x14ac:dyDescent="0.55000000000000004">
      <c r="A295" t="s">
        <v>424</v>
      </c>
      <c r="B295" s="24">
        <v>45608</v>
      </c>
      <c r="C295" t="s">
        <v>383</v>
      </c>
      <c r="D295" t="s">
        <v>81</v>
      </c>
      <c r="E295" t="s">
        <v>488</v>
      </c>
      <c r="F295" t="s">
        <v>489</v>
      </c>
      <c r="G295" t="s">
        <v>131</v>
      </c>
      <c r="H295" t="s">
        <v>132</v>
      </c>
      <c r="I295" t="s">
        <v>133</v>
      </c>
      <c r="J295" t="s">
        <v>39</v>
      </c>
      <c r="K295" t="s">
        <v>134</v>
      </c>
      <c r="L295" t="s">
        <v>78</v>
      </c>
      <c r="M295" t="s">
        <v>141</v>
      </c>
      <c r="N295">
        <v>1</v>
      </c>
      <c r="O295">
        <v>6.5</v>
      </c>
      <c r="P295">
        <v>6.5</v>
      </c>
      <c r="Q295">
        <v>0</v>
      </c>
      <c r="R295">
        <v>6.5</v>
      </c>
      <c r="S295">
        <v>2.2999999999999998</v>
      </c>
      <c r="T295">
        <v>4.2</v>
      </c>
      <c r="U295" t="s">
        <v>54</v>
      </c>
      <c r="V295" t="s">
        <v>55</v>
      </c>
      <c r="W295">
        <v>5</v>
      </c>
      <c r="X295" s="25" t="s">
        <v>490</v>
      </c>
    </row>
    <row r="296" spans="1:24" x14ac:dyDescent="0.55000000000000004">
      <c r="A296" t="s">
        <v>425</v>
      </c>
      <c r="B296" s="24">
        <v>45608</v>
      </c>
      <c r="C296" t="s">
        <v>383</v>
      </c>
      <c r="D296" t="s">
        <v>81</v>
      </c>
      <c r="E296" t="s">
        <v>488</v>
      </c>
      <c r="F296" t="s">
        <v>489</v>
      </c>
      <c r="G296" t="s">
        <v>76</v>
      </c>
      <c r="H296" t="s">
        <v>77</v>
      </c>
      <c r="I296" t="s">
        <v>38</v>
      </c>
      <c r="J296" t="s">
        <v>39</v>
      </c>
      <c r="K296" t="s">
        <v>40</v>
      </c>
      <c r="L296" t="s">
        <v>61</v>
      </c>
      <c r="M296" t="s">
        <v>119</v>
      </c>
      <c r="N296">
        <v>1</v>
      </c>
      <c r="O296">
        <v>6.86</v>
      </c>
      <c r="P296">
        <v>6.86</v>
      </c>
      <c r="Q296">
        <v>0.34</v>
      </c>
      <c r="R296">
        <v>6.52</v>
      </c>
      <c r="S296">
        <v>3.1</v>
      </c>
      <c r="T296">
        <v>3.42</v>
      </c>
      <c r="U296" t="s">
        <v>93</v>
      </c>
      <c r="V296" t="s">
        <v>73</v>
      </c>
      <c r="W296">
        <v>2</v>
      </c>
      <c r="X296" s="25" t="s">
        <v>490</v>
      </c>
    </row>
    <row r="297" spans="1:24" x14ac:dyDescent="0.55000000000000004">
      <c r="A297" t="s">
        <v>426</v>
      </c>
      <c r="B297" s="24">
        <v>45611</v>
      </c>
      <c r="C297" t="s">
        <v>383</v>
      </c>
      <c r="D297" t="s">
        <v>57</v>
      </c>
      <c r="E297" t="s">
        <v>486</v>
      </c>
      <c r="F297" t="s">
        <v>487</v>
      </c>
      <c r="G297" t="s">
        <v>131</v>
      </c>
      <c r="H297" t="s">
        <v>132</v>
      </c>
      <c r="I297" t="s">
        <v>133</v>
      </c>
      <c r="J297" t="s">
        <v>39</v>
      </c>
      <c r="K297" t="s">
        <v>134</v>
      </c>
      <c r="L297" t="s">
        <v>66</v>
      </c>
      <c r="M297" t="s">
        <v>67</v>
      </c>
      <c r="N297">
        <v>1</v>
      </c>
      <c r="O297">
        <v>1.02</v>
      </c>
      <c r="P297">
        <v>1.02</v>
      </c>
      <c r="Q297">
        <v>0</v>
      </c>
      <c r="R297">
        <v>1.02</v>
      </c>
      <c r="S297">
        <v>0.55000000000000004</v>
      </c>
      <c r="T297">
        <v>0.47</v>
      </c>
      <c r="U297" t="s">
        <v>43</v>
      </c>
      <c r="V297" t="s">
        <v>55</v>
      </c>
      <c r="W297">
        <v>3</v>
      </c>
      <c r="X297" s="25" t="s">
        <v>490</v>
      </c>
    </row>
    <row r="298" spans="1:24" x14ac:dyDescent="0.55000000000000004">
      <c r="A298" t="s">
        <v>427</v>
      </c>
      <c r="B298" s="24">
        <v>45613</v>
      </c>
      <c r="C298" t="s">
        <v>383</v>
      </c>
      <c r="D298" t="s">
        <v>99</v>
      </c>
      <c r="E298" t="s">
        <v>488</v>
      </c>
      <c r="F298" t="s">
        <v>489</v>
      </c>
      <c r="G298" t="s">
        <v>104</v>
      </c>
      <c r="H298" t="s">
        <v>105</v>
      </c>
      <c r="I298" t="s">
        <v>106</v>
      </c>
      <c r="J298" t="s">
        <v>39</v>
      </c>
      <c r="K298" t="s">
        <v>85</v>
      </c>
      <c r="L298" t="s">
        <v>66</v>
      </c>
      <c r="M298" t="s">
        <v>183</v>
      </c>
      <c r="N298">
        <v>1</v>
      </c>
      <c r="O298">
        <v>1.48</v>
      </c>
      <c r="P298">
        <v>1.48</v>
      </c>
      <c r="Q298">
        <v>0</v>
      </c>
      <c r="R298">
        <v>1.48</v>
      </c>
      <c r="S298">
        <v>0.79</v>
      </c>
      <c r="T298">
        <v>0.69</v>
      </c>
      <c r="U298" t="s">
        <v>123</v>
      </c>
      <c r="V298" t="s">
        <v>73</v>
      </c>
      <c r="W298">
        <v>3</v>
      </c>
      <c r="X298" s="25" t="s">
        <v>490</v>
      </c>
    </row>
    <row r="299" spans="1:24" x14ac:dyDescent="0.55000000000000004">
      <c r="A299" t="s">
        <v>428</v>
      </c>
      <c r="B299" s="24">
        <v>45614</v>
      </c>
      <c r="C299" t="s">
        <v>383</v>
      </c>
      <c r="D299" t="s">
        <v>75</v>
      </c>
      <c r="E299" t="s">
        <v>484</v>
      </c>
      <c r="F299" t="s">
        <v>485</v>
      </c>
      <c r="G299" t="s">
        <v>104</v>
      </c>
      <c r="H299" t="s">
        <v>105</v>
      </c>
      <c r="I299" t="s">
        <v>106</v>
      </c>
      <c r="J299" t="s">
        <v>39</v>
      </c>
      <c r="K299" t="s">
        <v>85</v>
      </c>
      <c r="L299" t="s">
        <v>61</v>
      </c>
      <c r="M299" t="s">
        <v>119</v>
      </c>
      <c r="N299">
        <v>1</v>
      </c>
      <c r="O299">
        <v>7.06</v>
      </c>
      <c r="P299">
        <v>7.06</v>
      </c>
      <c r="Q299">
        <v>1.41</v>
      </c>
      <c r="R299">
        <v>5.65</v>
      </c>
      <c r="S299">
        <v>2.63</v>
      </c>
      <c r="T299">
        <v>3.02</v>
      </c>
      <c r="U299" t="s">
        <v>93</v>
      </c>
      <c r="V299" t="s">
        <v>73</v>
      </c>
      <c r="W299">
        <v>4</v>
      </c>
      <c r="X299" s="25" t="s">
        <v>492</v>
      </c>
    </row>
    <row r="300" spans="1:24" x14ac:dyDescent="0.55000000000000004">
      <c r="A300" t="s">
        <v>429</v>
      </c>
      <c r="B300" s="24">
        <v>45616</v>
      </c>
      <c r="C300" t="s">
        <v>383</v>
      </c>
      <c r="D300" t="s">
        <v>34</v>
      </c>
      <c r="E300" t="s">
        <v>484</v>
      </c>
      <c r="F300" t="s">
        <v>485</v>
      </c>
      <c r="G300" t="s">
        <v>131</v>
      </c>
      <c r="H300" t="s">
        <v>132</v>
      </c>
      <c r="I300" t="s">
        <v>133</v>
      </c>
      <c r="J300" t="s">
        <v>39</v>
      </c>
      <c r="K300" t="s">
        <v>134</v>
      </c>
      <c r="L300" t="s">
        <v>66</v>
      </c>
      <c r="M300" t="s">
        <v>107</v>
      </c>
      <c r="N300">
        <v>3</v>
      </c>
      <c r="O300">
        <v>3.85</v>
      </c>
      <c r="P300">
        <v>11.55</v>
      </c>
      <c r="Q300">
        <v>0.57999999999999996</v>
      </c>
      <c r="R300">
        <v>10.97</v>
      </c>
      <c r="S300">
        <v>4.33</v>
      </c>
      <c r="T300">
        <v>6.64</v>
      </c>
      <c r="U300" t="s">
        <v>93</v>
      </c>
      <c r="V300" t="s">
        <v>44</v>
      </c>
      <c r="W300">
        <v>2</v>
      </c>
      <c r="X300" s="25" t="s">
        <v>490</v>
      </c>
    </row>
    <row r="301" spans="1:24" x14ac:dyDescent="0.55000000000000004">
      <c r="A301" t="s">
        <v>430</v>
      </c>
      <c r="B301" s="24">
        <v>45616</v>
      </c>
      <c r="C301" t="s">
        <v>383</v>
      </c>
      <c r="D301" t="s">
        <v>34</v>
      </c>
      <c r="E301" t="s">
        <v>486</v>
      </c>
      <c r="F301" t="s">
        <v>487</v>
      </c>
      <c r="G301" t="s">
        <v>48</v>
      </c>
      <c r="H301" t="s">
        <v>49</v>
      </c>
      <c r="I301" t="s">
        <v>50</v>
      </c>
      <c r="J301" t="s">
        <v>39</v>
      </c>
      <c r="K301" t="s">
        <v>51</v>
      </c>
      <c r="L301" t="s">
        <v>61</v>
      </c>
      <c r="M301" t="s">
        <v>121</v>
      </c>
      <c r="N301">
        <v>1</v>
      </c>
      <c r="O301">
        <v>9.36</v>
      </c>
      <c r="P301">
        <v>9.36</v>
      </c>
      <c r="Q301">
        <v>0.94</v>
      </c>
      <c r="R301">
        <v>8.42</v>
      </c>
      <c r="S301">
        <v>3.56</v>
      </c>
      <c r="T301">
        <v>4.8600000000000003</v>
      </c>
      <c r="U301" t="s">
        <v>43</v>
      </c>
      <c r="V301" t="s">
        <v>44</v>
      </c>
      <c r="W301">
        <v>5</v>
      </c>
      <c r="X301" s="25" t="s">
        <v>491</v>
      </c>
    </row>
    <row r="302" spans="1:24" x14ac:dyDescent="0.55000000000000004">
      <c r="A302" t="s">
        <v>431</v>
      </c>
      <c r="B302" s="24">
        <v>45617</v>
      </c>
      <c r="C302" t="s">
        <v>383</v>
      </c>
      <c r="D302" t="s">
        <v>46</v>
      </c>
      <c r="E302" t="s">
        <v>484</v>
      </c>
      <c r="F302" t="s">
        <v>485</v>
      </c>
      <c r="G302" t="s">
        <v>89</v>
      </c>
      <c r="H302" t="s">
        <v>90</v>
      </c>
      <c r="I302" t="s">
        <v>91</v>
      </c>
      <c r="J302" t="s">
        <v>39</v>
      </c>
      <c r="K302" t="s">
        <v>92</v>
      </c>
      <c r="L302" t="s">
        <v>66</v>
      </c>
      <c r="M302" t="s">
        <v>86</v>
      </c>
      <c r="N302">
        <v>2</v>
      </c>
      <c r="O302">
        <v>3.82</v>
      </c>
      <c r="P302">
        <v>7.64</v>
      </c>
      <c r="Q302">
        <v>0</v>
      </c>
      <c r="R302">
        <v>7.64</v>
      </c>
      <c r="S302">
        <v>3.65</v>
      </c>
      <c r="T302">
        <v>3.99</v>
      </c>
      <c r="U302" t="s">
        <v>43</v>
      </c>
      <c r="V302" t="s">
        <v>87</v>
      </c>
      <c r="W302">
        <v>3</v>
      </c>
      <c r="X302" s="25" t="s">
        <v>490</v>
      </c>
    </row>
    <row r="303" spans="1:24" x14ac:dyDescent="0.55000000000000004">
      <c r="A303" t="s">
        <v>432</v>
      </c>
      <c r="B303" s="24">
        <v>45617</v>
      </c>
      <c r="C303" t="s">
        <v>383</v>
      </c>
      <c r="D303" t="s">
        <v>46</v>
      </c>
      <c r="E303" t="s">
        <v>486</v>
      </c>
      <c r="F303" t="s">
        <v>487</v>
      </c>
      <c r="G303" t="s">
        <v>163</v>
      </c>
      <c r="H303" t="s">
        <v>164</v>
      </c>
      <c r="I303" t="s">
        <v>165</v>
      </c>
      <c r="J303" t="s">
        <v>39</v>
      </c>
      <c r="K303" t="s">
        <v>85</v>
      </c>
      <c r="L303" t="s">
        <v>41</v>
      </c>
      <c r="M303" t="s">
        <v>42</v>
      </c>
      <c r="N303">
        <v>1</v>
      </c>
      <c r="O303">
        <v>4.54</v>
      </c>
      <c r="P303">
        <v>4.54</v>
      </c>
      <c r="Q303">
        <v>0.45</v>
      </c>
      <c r="R303">
        <v>4.09</v>
      </c>
      <c r="S303">
        <v>1.99</v>
      </c>
      <c r="T303">
        <v>2.1</v>
      </c>
      <c r="U303" t="s">
        <v>102</v>
      </c>
      <c r="V303" t="s">
        <v>87</v>
      </c>
      <c r="W303">
        <v>3</v>
      </c>
      <c r="X303" s="25" t="s">
        <v>491</v>
      </c>
    </row>
    <row r="304" spans="1:24" x14ac:dyDescent="0.55000000000000004">
      <c r="A304" t="s">
        <v>433</v>
      </c>
      <c r="B304" s="24">
        <v>45619</v>
      </c>
      <c r="C304" t="s">
        <v>383</v>
      </c>
      <c r="D304" t="s">
        <v>69</v>
      </c>
      <c r="E304" t="s">
        <v>486</v>
      </c>
      <c r="F304" t="s">
        <v>487</v>
      </c>
      <c r="G304" t="s">
        <v>82</v>
      </c>
      <c r="H304" t="s">
        <v>83</v>
      </c>
      <c r="I304" t="s">
        <v>84</v>
      </c>
      <c r="J304" t="s">
        <v>39</v>
      </c>
      <c r="K304" t="s">
        <v>85</v>
      </c>
      <c r="L304" t="s">
        <v>100</v>
      </c>
      <c r="M304" t="s">
        <v>215</v>
      </c>
      <c r="N304">
        <v>1</v>
      </c>
      <c r="O304">
        <v>7.86</v>
      </c>
      <c r="P304">
        <v>7.86</v>
      </c>
      <c r="Q304">
        <v>0.79</v>
      </c>
      <c r="R304">
        <v>7.07</v>
      </c>
      <c r="S304">
        <v>3.43</v>
      </c>
      <c r="T304">
        <v>3.64</v>
      </c>
      <c r="U304" t="s">
        <v>43</v>
      </c>
      <c r="V304" t="s">
        <v>144</v>
      </c>
      <c r="W304">
        <v>4</v>
      </c>
      <c r="X304" s="25" t="s">
        <v>491</v>
      </c>
    </row>
    <row r="305" spans="1:24" x14ac:dyDescent="0.55000000000000004">
      <c r="A305" t="s">
        <v>434</v>
      </c>
      <c r="B305" s="24">
        <v>45620</v>
      </c>
      <c r="C305" t="s">
        <v>383</v>
      </c>
      <c r="D305" t="s">
        <v>99</v>
      </c>
      <c r="E305" t="s">
        <v>482</v>
      </c>
      <c r="F305" t="s">
        <v>483</v>
      </c>
      <c r="G305" t="s">
        <v>89</v>
      </c>
      <c r="H305" t="s">
        <v>90</v>
      </c>
      <c r="I305" t="s">
        <v>91</v>
      </c>
      <c r="J305" t="s">
        <v>39</v>
      </c>
      <c r="K305" t="s">
        <v>92</v>
      </c>
      <c r="L305" t="s">
        <v>78</v>
      </c>
      <c r="M305" t="s">
        <v>79</v>
      </c>
      <c r="N305">
        <v>1</v>
      </c>
      <c r="O305">
        <v>3.47</v>
      </c>
      <c r="P305">
        <v>3.47</v>
      </c>
      <c r="Q305">
        <v>0</v>
      </c>
      <c r="R305">
        <v>3.47</v>
      </c>
      <c r="S305">
        <v>1.25</v>
      </c>
      <c r="T305">
        <v>2.2200000000000002</v>
      </c>
      <c r="U305" t="s">
        <v>72</v>
      </c>
      <c r="V305" t="s">
        <v>63</v>
      </c>
      <c r="W305">
        <v>3</v>
      </c>
      <c r="X305" s="25" t="s">
        <v>490</v>
      </c>
    </row>
    <row r="306" spans="1:24" x14ac:dyDescent="0.55000000000000004">
      <c r="A306" t="s">
        <v>435</v>
      </c>
      <c r="B306" s="24">
        <v>45620</v>
      </c>
      <c r="C306" t="s">
        <v>383</v>
      </c>
      <c r="D306" t="s">
        <v>99</v>
      </c>
      <c r="E306" t="s">
        <v>484</v>
      </c>
      <c r="F306" t="s">
        <v>485</v>
      </c>
      <c r="G306" t="s">
        <v>163</v>
      </c>
      <c r="H306" t="s">
        <v>164</v>
      </c>
      <c r="I306" t="s">
        <v>165</v>
      </c>
      <c r="J306" t="s">
        <v>39</v>
      </c>
      <c r="K306" t="s">
        <v>85</v>
      </c>
      <c r="L306" t="s">
        <v>100</v>
      </c>
      <c r="M306" t="s">
        <v>101</v>
      </c>
      <c r="N306">
        <v>2</v>
      </c>
      <c r="O306">
        <v>3.48</v>
      </c>
      <c r="P306">
        <v>6.96</v>
      </c>
      <c r="Q306">
        <v>1.39</v>
      </c>
      <c r="R306">
        <v>5.57</v>
      </c>
      <c r="S306">
        <v>2.93</v>
      </c>
      <c r="T306">
        <v>2.64</v>
      </c>
      <c r="U306" t="s">
        <v>123</v>
      </c>
      <c r="V306" t="s">
        <v>87</v>
      </c>
      <c r="W306">
        <v>4</v>
      </c>
      <c r="X306" s="25" t="s">
        <v>492</v>
      </c>
    </row>
    <row r="307" spans="1:24" x14ac:dyDescent="0.55000000000000004">
      <c r="A307" t="s">
        <v>436</v>
      </c>
      <c r="B307" s="24">
        <v>45621</v>
      </c>
      <c r="C307" t="s">
        <v>383</v>
      </c>
      <c r="D307" t="s">
        <v>75</v>
      </c>
      <c r="E307" t="s">
        <v>488</v>
      </c>
      <c r="F307" t="s">
        <v>489</v>
      </c>
      <c r="G307" t="s">
        <v>48</v>
      </c>
      <c r="H307" t="s">
        <v>49</v>
      </c>
      <c r="I307" t="s">
        <v>50</v>
      </c>
      <c r="J307" t="s">
        <v>39</v>
      </c>
      <c r="K307" t="s">
        <v>51</v>
      </c>
      <c r="L307" t="s">
        <v>41</v>
      </c>
      <c r="M307" t="s">
        <v>42</v>
      </c>
      <c r="N307">
        <v>1</v>
      </c>
      <c r="O307">
        <v>4.5599999999999996</v>
      </c>
      <c r="P307">
        <v>4.5599999999999996</v>
      </c>
      <c r="Q307">
        <v>0.23</v>
      </c>
      <c r="R307">
        <v>4.33</v>
      </c>
      <c r="S307">
        <v>2.16</v>
      </c>
      <c r="T307">
        <v>2.17</v>
      </c>
      <c r="U307" t="s">
        <v>72</v>
      </c>
      <c r="V307" t="s">
        <v>87</v>
      </c>
      <c r="W307">
        <v>4</v>
      </c>
      <c r="X307" s="25" t="s">
        <v>490</v>
      </c>
    </row>
    <row r="308" spans="1:24" x14ac:dyDescent="0.55000000000000004">
      <c r="A308" t="s">
        <v>437</v>
      </c>
      <c r="B308" s="24">
        <v>45622</v>
      </c>
      <c r="C308" t="s">
        <v>383</v>
      </c>
      <c r="D308" t="s">
        <v>81</v>
      </c>
      <c r="E308" t="s">
        <v>482</v>
      </c>
      <c r="F308" t="s">
        <v>483</v>
      </c>
      <c r="G308" t="s">
        <v>163</v>
      </c>
      <c r="H308" t="s">
        <v>164</v>
      </c>
      <c r="I308" t="s">
        <v>165</v>
      </c>
      <c r="J308" t="s">
        <v>39</v>
      </c>
      <c r="K308" t="s">
        <v>85</v>
      </c>
      <c r="L308" t="s">
        <v>100</v>
      </c>
      <c r="M308" t="s">
        <v>117</v>
      </c>
      <c r="N308">
        <v>1</v>
      </c>
      <c r="O308">
        <v>3.38</v>
      </c>
      <c r="P308">
        <v>3.38</v>
      </c>
      <c r="Q308">
        <v>0.51</v>
      </c>
      <c r="R308">
        <v>2.87</v>
      </c>
      <c r="S308">
        <v>1.48</v>
      </c>
      <c r="T308">
        <v>1.39</v>
      </c>
      <c r="U308" t="s">
        <v>102</v>
      </c>
      <c r="V308" t="s">
        <v>73</v>
      </c>
      <c r="W308">
        <v>5</v>
      </c>
      <c r="X308" s="25" t="s">
        <v>493</v>
      </c>
    </row>
    <row r="309" spans="1:24" x14ac:dyDescent="0.55000000000000004">
      <c r="A309" t="s">
        <v>438</v>
      </c>
      <c r="B309" s="24">
        <v>45622</v>
      </c>
      <c r="C309" t="s">
        <v>383</v>
      </c>
      <c r="D309" t="s">
        <v>81</v>
      </c>
      <c r="E309" t="s">
        <v>488</v>
      </c>
      <c r="F309" t="s">
        <v>489</v>
      </c>
      <c r="G309" t="s">
        <v>163</v>
      </c>
      <c r="H309" t="s">
        <v>164</v>
      </c>
      <c r="I309" t="s">
        <v>165</v>
      </c>
      <c r="J309" t="s">
        <v>39</v>
      </c>
      <c r="K309" t="s">
        <v>85</v>
      </c>
      <c r="L309" t="s">
        <v>61</v>
      </c>
      <c r="M309" t="s">
        <v>62</v>
      </c>
      <c r="N309">
        <v>4</v>
      </c>
      <c r="O309">
        <v>10.75</v>
      </c>
      <c r="P309">
        <v>43</v>
      </c>
      <c r="Q309">
        <v>0</v>
      </c>
      <c r="R309">
        <v>43</v>
      </c>
      <c r="S309">
        <v>22.8</v>
      </c>
      <c r="T309">
        <v>20.2</v>
      </c>
      <c r="U309" t="s">
        <v>54</v>
      </c>
      <c r="V309" t="s">
        <v>87</v>
      </c>
      <c r="W309">
        <v>4</v>
      </c>
      <c r="X309" s="25" t="s">
        <v>490</v>
      </c>
    </row>
    <row r="310" spans="1:24" x14ac:dyDescent="0.55000000000000004">
      <c r="A310" t="s">
        <v>439</v>
      </c>
      <c r="B310" s="24">
        <v>45622</v>
      </c>
      <c r="C310" t="s">
        <v>383</v>
      </c>
      <c r="D310" t="s">
        <v>81</v>
      </c>
      <c r="E310" t="s">
        <v>484</v>
      </c>
      <c r="F310" t="s">
        <v>485</v>
      </c>
      <c r="G310" t="s">
        <v>76</v>
      </c>
      <c r="H310" t="s">
        <v>77</v>
      </c>
      <c r="I310" t="s">
        <v>38</v>
      </c>
      <c r="J310" t="s">
        <v>39</v>
      </c>
      <c r="K310" t="s">
        <v>40</v>
      </c>
      <c r="L310" t="s">
        <v>61</v>
      </c>
      <c r="M310" t="s">
        <v>121</v>
      </c>
      <c r="N310">
        <v>2</v>
      </c>
      <c r="O310">
        <v>9.2899999999999991</v>
      </c>
      <c r="P310">
        <v>18.579999999999998</v>
      </c>
      <c r="Q310">
        <v>0</v>
      </c>
      <c r="R310">
        <v>18.579999999999998</v>
      </c>
      <c r="S310">
        <v>8.18</v>
      </c>
      <c r="T310">
        <v>10.4</v>
      </c>
      <c r="U310" t="s">
        <v>102</v>
      </c>
      <c r="V310" t="s">
        <v>55</v>
      </c>
      <c r="W310">
        <v>4</v>
      </c>
      <c r="X310" s="25" t="s">
        <v>490</v>
      </c>
    </row>
    <row r="311" spans="1:24" x14ac:dyDescent="0.55000000000000004">
      <c r="A311" t="s">
        <v>440</v>
      </c>
      <c r="B311" s="24">
        <v>45625</v>
      </c>
      <c r="C311" t="s">
        <v>383</v>
      </c>
      <c r="D311" t="s">
        <v>57</v>
      </c>
      <c r="E311" t="s">
        <v>488</v>
      </c>
      <c r="F311" t="s">
        <v>489</v>
      </c>
      <c r="G311" t="s">
        <v>76</v>
      </c>
      <c r="H311" t="s">
        <v>77</v>
      </c>
      <c r="I311" t="s">
        <v>38</v>
      </c>
      <c r="J311" t="s">
        <v>39</v>
      </c>
      <c r="K311" t="s">
        <v>40</v>
      </c>
      <c r="L311" t="s">
        <v>78</v>
      </c>
      <c r="M311" t="s">
        <v>143</v>
      </c>
      <c r="N311">
        <v>1</v>
      </c>
      <c r="O311">
        <v>2.87</v>
      </c>
      <c r="P311">
        <v>2.87</v>
      </c>
      <c r="Q311">
        <v>0</v>
      </c>
      <c r="R311">
        <v>2.87</v>
      </c>
      <c r="S311">
        <v>1.06</v>
      </c>
      <c r="T311">
        <v>1.81</v>
      </c>
      <c r="U311" t="s">
        <v>72</v>
      </c>
      <c r="V311" t="s">
        <v>144</v>
      </c>
      <c r="W311">
        <v>5</v>
      </c>
      <c r="X311" s="25" t="s">
        <v>490</v>
      </c>
    </row>
    <row r="312" spans="1:24" x14ac:dyDescent="0.55000000000000004">
      <c r="A312" t="s">
        <v>441</v>
      </c>
      <c r="B312" s="24">
        <v>45626</v>
      </c>
      <c r="C312" t="s">
        <v>383</v>
      </c>
      <c r="D312" t="s">
        <v>69</v>
      </c>
      <c r="E312" t="s">
        <v>482</v>
      </c>
      <c r="F312" t="s">
        <v>483</v>
      </c>
      <c r="G312" t="s">
        <v>36</v>
      </c>
      <c r="H312" t="s">
        <v>37</v>
      </c>
      <c r="I312" t="s">
        <v>38</v>
      </c>
      <c r="J312" t="s">
        <v>39</v>
      </c>
      <c r="K312" t="s">
        <v>40</v>
      </c>
      <c r="L312" t="s">
        <v>66</v>
      </c>
      <c r="M312" t="s">
        <v>107</v>
      </c>
      <c r="N312">
        <v>2</v>
      </c>
      <c r="O312">
        <v>3.76</v>
      </c>
      <c r="P312">
        <v>7.52</v>
      </c>
      <c r="Q312">
        <v>0.75</v>
      </c>
      <c r="R312">
        <v>6.77</v>
      </c>
      <c r="S312">
        <v>2.96</v>
      </c>
      <c r="T312">
        <v>3.81</v>
      </c>
      <c r="U312" t="s">
        <v>102</v>
      </c>
      <c r="V312" t="s">
        <v>44</v>
      </c>
      <c r="W312">
        <v>5</v>
      </c>
      <c r="X312" s="25" t="s">
        <v>491</v>
      </c>
    </row>
    <row r="313" spans="1:24" x14ac:dyDescent="0.55000000000000004">
      <c r="A313" t="s">
        <v>442</v>
      </c>
      <c r="B313" s="24">
        <v>45627</v>
      </c>
      <c r="C313" t="s">
        <v>383</v>
      </c>
      <c r="D313" t="s">
        <v>99</v>
      </c>
      <c r="E313" t="s">
        <v>484</v>
      </c>
      <c r="F313" t="s">
        <v>485</v>
      </c>
      <c r="G313" t="s">
        <v>48</v>
      </c>
      <c r="H313" t="s">
        <v>49</v>
      </c>
      <c r="I313" t="s">
        <v>50</v>
      </c>
      <c r="J313" t="s">
        <v>39</v>
      </c>
      <c r="K313" t="s">
        <v>51</v>
      </c>
      <c r="L313" t="s">
        <v>61</v>
      </c>
      <c r="M313" t="s">
        <v>119</v>
      </c>
      <c r="N313">
        <v>1</v>
      </c>
      <c r="O313">
        <v>6.9</v>
      </c>
      <c r="P313">
        <v>6.9</v>
      </c>
      <c r="Q313">
        <v>0</v>
      </c>
      <c r="R313">
        <v>6.9</v>
      </c>
      <c r="S313">
        <v>3.25</v>
      </c>
      <c r="T313">
        <v>3.65</v>
      </c>
      <c r="U313" t="s">
        <v>54</v>
      </c>
      <c r="V313" t="s">
        <v>63</v>
      </c>
      <c r="W313">
        <v>4</v>
      </c>
      <c r="X313" s="25" t="s">
        <v>490</v>
      </c>
    </row>
    <row r="314" spans="1:24" x14ac:dyDescent="0.55000000000000004">
      <c r="A314" t="s">
        <v>443</v>
      </c>
      <c r="B314" s="24">
        <v>45628</v>
      </c>
      <c r="C314" t="s">
        <v>383</v>
      </c>
      <c r="D314" t="s">
        <v>75</v>
      </c>
      <c r="E314" t="s">
        <v>482</v>
      </c>
      <c r="F314" t="s">
        <v>483</v>
      </c>
      <c r="G314" t="s">
        <v>89</v>
      </c>
      <c r="H314" t="s">
        <v>90</v>
      </c>
      <c r="I314" t="s">
        <v>91</v>
      </c>
      <c r="J314" t="s">
        <v>39</v>
      </c>
      <c r="K314" t="s">
        <v>92</v>
      </c>
      <c r="L314" t="s">
        <v>41</v>
      </c>
      <c r="M314" t="s">
        <v>42</v>
      </c>
      <c r="N314">
        <v>1</v>
      </c>
      <c r="O314">
        <v>4.3899999999999997</v>
      </c>
      <c r="P314">
        <v>4.3899999999999997</v>
      </c>
      <c r="Q314">
        <v>0</v>
      </c>
      <c r="R314">
        <v>4.3899999999999997</v>
      </c>
      <c r="S314">
        <v>2.25</v>
      </c>
      <c r="T314">
        <v>2.14</v>
      </c>
      <c r="U314" t="s">
        <v>93</v>
      </c>
      <c r="V314" t="s">
        <v>73</v>
      </c>
      <c r="W314">
        <v>5</v>
      </c>
      <c r="X314" s="25" t="s">
        <v>490</v>
      </c>
    </row>
    <row r="315" spans="1:24" x14ac:dyDescent="0.55000000000000004">
      <c r="A315" t="s">
        <v>444</v>
      </c>
      <c r="B315" s="24">
        <v>45628</v>
      </c>
      <c r="C315" t="s">
        <v>383</v>
      </c>
      <c r="D315" t="s">
        <v>75</v>
      </c>
      <c r="E315" t="s">
        <v>484</v>
      </c>
      <c r="F315" t="s">
        <v>485</v>
      </c>
      <c r="G315" t="s">
        <v>163</v>
      </c>
      <c r="H315" t="s">
        <v>164</v>
      </c>
      <c r="I315" t="s">
        <v>165</v>
      </c>
      <c r="J315" t="s">
        <v>39</v>
      </c>
      <c r="K315" t="s">
        <v>85</v>
      </c>
      <c r="L315" t="s">
        <v>41</v>
      </c>
      <c r="M315" t="s">
        <v>154</v>
      </c>
      <c r="N315">
        <v>2</v>
      </c>
      <c r="O315">
        <v>1.5</v>
      </c>
      <c r="P315">
        <v>3</v>
      </c>
      <c r="Q315">
        <v>0.15</v>
      </c>
      <c r="R315">
        <v>2.85</v>
      </c>
      <c r="S315">
        <v>1.37</v>
      </c>
      <c r="T315">
        <v>1.48</v>
      </c>
      <c r="U315" t="s">
        <v>123</v>
      </c>
      <c r="V315" t="s">
        <v>63</v>
      </c>
      <c r="W315">
        <v>1</v>
      </c>
      <c r="X315" s="25" t="s">
        <v>490</v>
      </c>
    </row>
    <row r="316" spans="1:24" x14ac:dyDescent="0.55000000000000004">
      <c r="A316" t="s">
        <v>445</v>
      </c>
      <c r="B316" s="24">
        <v>45628</v>
      </c>
      <c r="C316" t="s">
        <v>383</v>
      </c>
      <c r="D316" t="s">
        <v>75</v>
      </c>
      <c r="E316" t="s">
        <v>486</v>
      </c>
      <c r="F316" t="s">
        <v>487</v>
      </c>
      <c r="G316" t="s">
        <v>114</v>
      </c>
      <c r="H316" t="s">
        <v>115</v>
      </c>
      <c r="I316" t="s">
        <v>116</v>
      </c>
      <c r="J316" t="s">
        <v>39</v>
      </c>
      <c r="K316" t="s">
        <v>51</v>
      </c>
      <c r="L316" t="s">
        <v>52</v>
      </c>
      <c r="M316" t="s">
        <v>71</v>
      </c>
      <c r="N316">
        <v>1</v>
      </c>
      <c r="O316">
        <v>4</v>
      </c>
      <c r="P316">
        <v>4</v>
      </c>
      <c r="Q316">
        <v>0</v>
      </c>
      <c r="R316">
        <v>4</v>
      </c>
      <c r="S316">
        <v>1.79</v>
      </c>
      <c r="T316">
        <v>2.21</v>
      </c>
      <c r="U316" t="s">
        <v>102</v>
      </c>
      <c r="V316" t="s">
        <v>44</v>
      </c>
      <c r="W316">
        <v>4</v>
      </c>
      <c r="X316" s="25" t="s">
        <v>490</v>
      </c>
    </row>
    <row r="317" spans="1:24" x14ac:dyDescent="0.55000000000000004">
      <c r="A317" t="s">
        <v>446</v>
      </c>
      <c r="B317" s="24">
        <v>45628</v>
      </c>
      <c r="C317" t="s">
        <v>383</v>
      </c>
      <c r="D317" t="s">
        <v>75</v>
      </c>
      <c r="E317" t="s">
        <v>486</v>
      </c>
      <c r="F317" t="s">
        <v>487</v>
      </c>
      <c r="G317" t="s">
        <v>58</v>
      </c>
      <c r="H317" t="s">
        <v>59</v>
      </c>
      <c r="I317" t="s">
        <v>60</v>
      </c>
      <c r="J317" t="s">
        <v>39</v>
      </c>
      <c r="K317" t="s">
        <v>40</v>
      </c>
      <c r="L317" t="s">
        <v>100</v>
      </c>
      <c r="M317" t="s">
        <v>111</v>
      </c>
      <c r="N317">
        <v>1</v>
      </c>
      <c r="O317">
        <v>6.08</v>
      </c>
      <c r="P317">
        <v>6.08</v>
      </c>
      <c r="Q317">
        <v>0.91</v>
      </c>
      <c r="R317">
        <v>5.17</v>
      </c>
      <c r="S317">
        <v>2.17</v>
      </c>
      <c r="T317">
        <v>3</v>
      </c>
      <c r="U317" t="s">
        <v>93</v>
      </c>
      <c r="V317" t="s">
        <v>44</v>
      </c>
      <c r="W317">
        <v>5</v>
      </c>
      <c r="X317" s="25" t="s">
        <v>493</v>
      </c>
    </row>
    <row r="318" spans="1:24" x14ac:dyDescent="0.55000000000000004">
      <c r="A318" t="s">
        <v>447</v>
      </c>
      <c r="B318" s="24">
        <v>45629</v>
      </c>
      <c r="C318" t="s">
        <v>383</v>
      </c>
      <c r="D318" t="s">
        <v>81</v>
      </c>
      <c r="E318" t="s">
        <v>488</v>
      </c>
      <c r="F318" t="s">
        <v>489</v>
      </c>
      <c r="G318" t="s">
        <v>58</v>
      </c>
      <c r="H318" t="s">
        <v>59</v>
      </c>
      <c r="I318" t="s">
        <v>60</v>
      </c>
      <c r="J318" t="s">
        <v>39</v>
      </c>
      <c r="K318" t="s">
        <v>40</v>
      </c>
      <c r="L318" t="s">
        <v>41</v>
      </c>
      <c r="M318" t="s">
        <v>125</v>
      </c>
      <c r="N318">
        <v>2</v>
      </c>
      <c r="O318">
        <v>2.74</v>
      </c>
      <c r="P318">
        <v>5.48</v>
      </c>
      <c r="Q318">
        <v>0</v>
      </c>
      <c r="R318">
        <v>5.48</v>
      </c>
      <c r="S318">
        <v>2.63</v>
      </c>
      <c r="T318">
        <v>2.85</v>
      </c>
      <c r="U318" t="s">
        <v>93</v>
      </c>
      <c r="V318" t="s">
        <v>63</v>
      </c>
      <c r="W318">
        <v>3</v>
      </c>
      <c r="X318" s="25" t="s">
        <v>490</v>
      </c>
    </row>
    <row r="319" spans="1:24" x14ac:dyDescent="0.55000000000000004">
      <c r="A319" t="s">
        <v>448</v>
      </c>
      <c r="B319" s="24">
        <v>45629</v>
      </c>
      <c r="C319" t="s">
        <v>383</v>
      </c>
      <c r="D319" t="s">
        <v>81</v>
      </c>
      <c r="E319" t="s">
        <v>484</v>
      </c>
      <c r="F319" t="s">
        <v>485</v>
      </c>
      <c r="G319" t="s">
        <v>89</v>
      </c>
      <c r="H319" t="s">
        <v>90</v>
      </c>
      <c r="I319" t="s">
        <v>91</v>
      </c>
      <c r="J319" t="s">
        <v>39</v>
      </c>
      <c r="K319" t="s">
        <v>92</v>
      </c>
      <c r="L319" t="s">
        <v>66</v>
      </c>
      <c r="M319" t="s">
        <v>183</v>
      </c>
      <c r="N319">
        <v>2</v>
      </c>
      <c r="O319">
        <v>1.45</v>
      </c>
      <c r="P319">
        <v>2.9</v>
      </c>
      <c r="Q319">
        <v>0.57999999999999996</v>
      </c>
      <c r="R319">
        <v>2.3199999999999998</v>
      </c>
      <c r="S319">
        <v>1.21</v>
      </c>
      <c r="T319">
        <v>1.1100000000000001</v>
      </c>
      <c r="U319" t="s">
        <v>72</v>
      </c>
      <c r="V319" t="s">
        <v>73</v>
      </c>
      <c r="W319">
        <v>4</v>
      </c>
      <c r="X319" s="25" t="s">
        <v>492</v>
      </c>
    </row>
    <row r="320" spans="1:24" x14ac:dyDescent="0.55000000000000004">
      <c r="A320" t="s">
        <v>449</v>
      </c>
      <c r="B320" s="24">
        <v>45629</v>
      </c>
      <c r="C320" t="s">
        <v>383</v>
      </c>
      <c r="D320" t="s">
        <v>81</v>
      </c>
      <c r="E320" t="s">
        <v>488</v>
      </c>
      <c r="F320" t="s">
        <v>489</v>
      </c>
      <c r="G320" t="s">
        <v>114</v>
      </c>
      <c r="H320" t="s">
        <v>115</v>
      </c>
      <c r="I320" t="s">
        <v>116</v>
      </c>
      <c r="J320" t="s">
        <v>39</v>
      </c>
      <c r="K320" t="s">
        <v>51</v>
      </c>
      <c r="L320" t="s">
        <v>66</v>
      </c>
      <c r="M320" t="s">
        <v>107</v>
      </c>
      <c r="N320">
        <v>2</v>
      </c>
      <c r="O320">
        <v>3.83</v>
      </c>
      <c r="P320">
        <v>7.66</v>
      </c>
      <c r="Q320">
        <v>0.77</v>
      </c>
      <c r="R320">
        <v>6.89</v>
      </c>
      <c r="S320">
        <v>2.48</v>
      </c>
      <c r="T320">
        <v>4.41</v>
      </c>
      <c r="U320" t="s">
        <v>43</v>
      </c>
      <c r="V320" t="s">
        <v>73</v>
      </c>
      <c r="W320">
        <v>5</v>
      </c>
      <c r="X320" s="25" t="s">
        <v>491</v>
      </c>
    </row>
    <row r="321" spans="1:24" x14ac:dyDescent="0.55000000000000004">
      <c r="A321" t="s">
        <v>450</v>
      </c>
      <c r="B321" s="24">
        <v>45630</v>
      </c>
      <c r="C321" t="s">
        <v>383</v>
      </c>
      <c r="D321" t="s">
        <v>34</v>
      </c>
      <c r="E321" t="s">
        <v>486</v>
      </c>
      <c r="F321" t="s">
        <v>487</v>
      </c>
      <c r="G321" t="s">
        <v>114</v>
      </c>
      <c r="H321" t="s">
        <v>115</v>
      </c>
      <c r="I321" t="s">
        <v>116</v>
      </c>
      <c r="J321" t="s">
        <v>39</v>
      </c>
      <c r="K321" t="s">
        <v>51</v>
      </c>
      <c r="L321" t="s">
        <v>100</v>
      </c>
      <c r="M321" t="s">
        <v>243</v>
      </c>
      <c r="N321">
        <v>1</v>
      </c>
      <c r="O321">
        <v>5.6</v>
      </c>
      <c r="P321">
        <v>5.6</v>
      </c>
      <c r="Q321">
        <v>0</v>
      </c>
      <c r="R321">
        <v>5.6</v>
      </c>
      <c r="S321">
        <v>2.2599999999999998</v>
      </c>
      <c r="T321">
        <v>3.34</v>
      </c>
      <c r="U321" t="s">
        <v>72</v>
      </c>
      <c r="V321" t="s">
        <v>73</v>
      </c>
      <c r="W321">
        <v>3</v>
      </c>
      <c r="X321" s="25" t="s">
        <v>490</v>
      </c>
    </row>
    <row r="322" spans="1:24" x14ac:dyDescent="0.55000000000000004">
      <c r="A322" t="s">
        <v>451</v>
      </c>
      <c r="B322" s="24">
        <v>45630</v>
      </c>
      <c r="C322" t="s">
        <v>383</v>
      </c>
      <c r="D322" t="s">
        <v>34</v>
      </c>
      <c r="E322" t="s">
        <v>482</v>
      </c>
      <c r="F322" t="s">
        <v>483</v>
      </c>
      <c r="G322" t="s">
        <v>89</v>
      </c>
      <c r="H322" t="s">
        <v>90</v>
      </c>
      <c r="I322" t="s">
        <v>91</v>
      </c>
      <c r="J322" t="s">
        <v>39</v>
      </c>
      <c r="K322" t="s">
        <v>92</v>
      </c>
      <c r="L322" t="s">
        <v>41</v>
      </c>
      <c r="M322" t="s">
        <v>154</v>
      </c>
      <c r="N322">
        <v>4</v>
      </c>
      <c r="O322">
        <v>1.46</v>
      </c>
      <c r="P322">
        <v>5.84</v>
      </c>
      <c r="Q322">
        <v>1.17</v>
      </c>
      <c r="R322">
        <v>4.67</v>
      </c>
      <c r="S322">
        <v>2</v>
      </c>
      <c r="T322">
        <v>2.67</v>
      </c>
      <c r="U322" t="s">
        <v>93</v>
      </c>
      <c r="V322" t="s">
        <v>73</v>
      </c>
      <c r="W322">
        <v>5</v>
      </c>
      <c r="X322" s="25" t="s">
        <v>492</v>
      </c>
    </row>
    <row r="323" spans="1:24" x14ac:dyDescent="0.55000000000000004">
      <c r="A323" t="s">
        <v>452</v>
      </c>
      <c r="B323" s="24">
        <v>45630</v>
      </c>
      <c r="C323" t="s">
        <v>383</v>
      </c>
      <c r="D323" t="s">
        <v>34</v>
      </c>
      <c r="E323" t="s">
        <v>486</v>
      </c>
      <c r="F323" t="s">
        <v>487</v>
      </c>
      <c r="G323" t="s">
        <v>163</v>
      </c>
      <c r="H323" t="s">
        <v>164</v>
      </c>
      <c r="I323" t="s">
        <v>165</v>
      </c>
      <c r="J323" t="s">
        <v>39</v>
      </c>
      <c r="K323" t="s">
        <v>85</v>
      </c>
      <c r="L323" t="s">
        <v>100</v>
      </c>
      <c r="M323" t="s">
        <v>243</v>
      </c>
      <c r="N323">
        <v>2</v>
      </c>
      <c r="O323">
        <v>5.52</v>
      </c>
      <c r="P323">
        <v>11.04</v>
      </c>
      <c r="Q323">
        <v>0</v>
      </c>
      <c r="R323">
        <v>11.04</v>
      </c>
      <c r="S323">
        <v>4.95</v>
      </c>
      <c r="T323">
        <v>6.09</v>
      </c>
      <c r="U323" t="s">
        <v>72</v>
      </c>
      <c r="V323" t="s">
        <v>55</v>
      </c>
      <c r="W323">
        <v>5</v>
      </c>
      <c r="X323" s="25" t="s">
        <v>490</v>
      </c>
    </row>
    <row r="324" spans="1:24" x14ac:dyDescent="0.55000000000000004">
      <c r="A324" t="s">
        <v>453</v>
      </c>
      <c r="B324" s="24">
        <v>45631</v>
      </c>
      <c r="C324" t="s">
        <v>383</v>
      </c>
      <c r="D324" t="s">
        <v>46</v>
      </c>
      <c r="E324" t="s">
        <v>482</v>
      </c>
      <c r="F324" t="s">
        <v>483</v>
      </c>
      <c r="G324" t="s">
        <v>163</v>
      </c>
      <c r="H324" t="s">
        <v>164</v>
      </c>
      <c r="I324" t="s">
        <v>165</v>
      </c>
      <c r="J324" t="s">
        <v>39</v>
      </c>
      <c r="K324" t="s">
        <v>85</v>
      </c>
      <c r="L324" t="s">
        <v>61</v>
      </c>
      <c r="M324" t="s">
        <v>161</v>
      </c>
      <c r="N324">
        <v>1</v>
      </c>
      <c r="O324">
        <v>10.73</v>
      </c>
      <c r="P324">
        <v>10.73</v>
      </c>
      <c r="Q324">
        <v>0</v>
      </c>
      <c r="R324">
        <v>10.73</v>
      </c>
      <c r="S324">
        <v>5.88</v>
      </c>
      <c r="T324">
        <v>4.8499999999999996</v>
      </c>
      <c r="U324" t="s">
        <v>54</v>
      </c>
      <c r="V324" t="s">
        <v>55</v>
      </c>
      <c r="W324">
        <v>4</v>
      </c>
      <c r="X324" s="25" t="s">
        <v>490</v>
      </c>
    </row>
    <row r="325" spans="1:24" x14ac:dyDescent="0.55000000000000004">
      <c r="A325" t="s">
        <v>454</v>
      </c>
      <c r="B325" s="24">
        <v>45631</v>
      </c>
      <c r="C325" t="s">
        <v>383</v>
      </c>
      <c r="D325" t="s">
        <v>46</v>
      </c>
      <c r="E325" t="s">
        <v>488</v>
      </c>
      <c r="F325" t="s">
        <v>489</v>
      </c>
      <c r="G325" t="s">
        <v>114</v>
      </c>
      <c r="H325" t="s">
        <v>115</v>
      </c>
      <c r="I325" t="s">
        <v>116</v>
      </c>
      <c r="J325" t="s">
        <v>39</v>
      </c>
      <c r="K325" t="s">
        <v>51</v>
      </c>
      <c r="L325" t="s">
        <v>61</v>
      </c>
      <c r="M325" t="s">
        <v>62</v>
      </c>
      <c r="N325">
        <v>1</v>
      </c>
      <c r="O325">
        <v>10.38</v>
      </c>
      <c r="P325">
        <v>10.38</v>
      </c>
      <c r="Q325">
        <v>2.08</v>
      </c>
      <c r="R325">
        <v>8.3000000000000007</v>
      </c>
      <c r="S325">
        <v>4.12</v>
      </c>
      <c r="T325">
        <v>4.18</v>
      </c>
      <c r="U325" t="s">
        <v>72</v>
      </c>
      <c r="V325" t="s">
        <v>73</v>
      </c>
      <c r="W325">
        <v>5</v>
      </c>
      <c r="X325" s="25" t="s">
        <v>492</v>
      </c>
    </row>
    <row r="326" spans="1:24" x14ac:dyDescent="0.55000000000000004">
      <c r="A326" t="s">
        <v>455</v>
      </c>
      <c r="B326" s="24">
        <v>45633</v>
      </c>
      <c r="C326" t="s">
        <v>383</v>
      </c>
      <c r="D326" t="s">
        <v>69</v>
      </c>
      <c r="E326" t="s">
        <v>486</v>
      </c>
      <c r="F326" t="s">
        <v>487</v>
      </c>
      <c r="G326" t="s">
        <v>114</v>
      </c>
      <c r="H326" t="s">
        <v>115</v>
      </c>
      <c r="I326" t="s">
        <v>116</v>
      </c>
      <c r="J326" t="s">
        <v>39</v>
      </c>
      <c r="K326" t="s">
        <v>51</v>
      </c>
      <c r="L326" t="s">
        <v>66</v>
      </c>
      <c r="M326" t="s">
        <v>183</v>
      </c>
      <c r="N326">
        <v>2</v>
      </c>
      <c r="O326">
        <v>1.49</v>
      </c>
      <c r="P326">
        <v>2.98</v>
      </c>
      <c r="Q326">
        <v>0</v>
      </c>
      <c r="R326">
        <v>2.98</v>
      </c>
      <c r="S326">
        <v>1.44</v>
      </c>
      <c r="T326">
        <v>1.54</v>
      </c>
      <c r="U326" t="s">
        <v>72</v>
      </c>
      <c r="V326" t="s">
        <v>73</v>
      </c>
      <c r="W326">
        <v>5</v>
      </c>
      <c r="X326" s="25" t="s">
        <v>490</v>
      </c>
    </row>
    <row r="327" spans="1:24" x14ac:dyDescent="0.55000000000000004">
      <c r="A327" t="s">
        <v>456</v>
      </c>
      <c r="B327" s="24">
        <v>45637</v>
      </c>
      <c r="C327" t="s">
        <v>383</v>
      </c>
      <c r="D327" t="s">
        <v>34</v>
      </c>
      <c r="E327" t="s">
        <v>488</v>
      </c>
      <c r="F327" t="s">
        <v>489</v>
      </c>
      <c r="G327" t="s">
        <v>131</v>
      </c>
      <c r="H327" t="s">
        <v>132</v>
      </c>
      <c r="I327" t="s">
        <v>133</v>
      </c>
      <c r="J327" t="s">
        <v>39</v>
      </c>
      <c r="K327" t="s">
        <v>134</v>
      </c>
      <c r="L327" t="s">
        <v>61</v>
      </c>
      <c r="M327" t="s">
        <v>62</v>
      </c>
      <c r="N327">
        <v>5</v>
      </c>
      <c r="O327">
        <v>10.6</v>
      </c>
      <c r="P327">
        <v>53</v>
      </c>
      <c r="Q327">
        <v>0</v>
      </c>
      <c r="R327">
        <v>53</v>
      </c>
      <c r="S327">
        <v>18.98</v>
      </c>
      <c r="T327">
        <v>34.020000000000003</v>
      </c>
      <c r="U327" t="s">
        <v>93</v>
      </c>
      <c r="V327" t="s">
        <v>63</v>
      </c>
      <c r="W327">
        <v>5</v>
      </c>
      <c r="X327" s="25" t="s">
        <v>490</v>
      </c>
    </row>
    <row r="328" spans="1:24" x14ac:dyDescent="0.55000000000000004">
      <c r="A328" t="s">
        <v>457</v>
      </c>
      <c r="B328" s="24">
        <v>45637</v>
      </c>
      <c r="C328" t="s">
        <v>383</v>
      </c>
      <c r="D328" t="s">
        <v>34</v>
      </c>
      <c r="E328" t="s">
        <v>482</v>
      </c>
      <c r="F328" t="s">
        <v>483</v>
      </c>
      <c r="G328" t="s">
        <v>89</v>
      </c>
      <c r="H328" t="s">
        <v>90</v>
      </c>
      <c r="I328" t="s">
        <v>91</v>
      </c>
      <c r="J328" t="s">
        <v>39</v>
      </c>
      <c r="K328" t="s">
        <v>92</v>
      </c>
      <c r="L328" t="s">
        <v>78</v>
      </c>
      <c r="M328" t="s">
        <v>138</v>
      </c>
      <c r="N328">
        <v>2</v>
      </c>
      <c r="O328">
        <v>4.59</v>
      </c>
      <c r="P328">
        <v>9.18</v>
      </c>
      <c r="Q328">
        <v>0</v>
      </c>
      <c r="R328">
        <v>9.18</v>
      </c>
      <c r="S328">
        <v>4.21</v>
      </c>
      <c r="T328">
        <v>4.97</v>
      </c>
      <c r="U328" t="s">
        <v>43</v>
      </c>
      <c r="V328" t="s">
        <v>144</v>
      </c>
      <c r="W328">
        <v>5</v>
      </c>
      <c r="X328" s="25" t="s">
        <v>490</v>
      </c>
    </row>
    <row r="329" spans="1:24" x14ac:dyDescent="0.55000000000000004">
      <c r="A329" t="s">
        <v>458</v>
      </c>
      <c r="B329" s="24">
        <v>45638</v>
      </c>
      <c r="C329" t="s">
        <v>383</v>
      </c>
      <c r="D329" t="s">
        <v>46</v>
      </c>
      <c r="E329" t="s">
        <v>484</v>
      </c>
      <c r="F329" t="s">
        <v>485</v>
      </c>
      <c r="G329" t="s">
        <v>163</v>
      </c>
      <c r="H329" t="s">
        <v>164</v>
      </c>
      <c r="I329" t="s">
        <v>165</v>
      </c>
      <c r="J329" t="s">
        <v>39</v>
      </c>
      <c r="K329" t="s">
        <v>85</v>
      </c>
      <c r="L329" t="s">
        <v>78</v>
      </c>
      <c r="M329" t="s">
        <v>143</v>
      </c>
      <c r="N329">
        <v>1</v>
      </c>
      <c r="O329">
        <v>2.83</v>
      </c>
      <c r="P329">
        <v>2.83</v>
      </c>
      <c r="Q329">
        <v>0</v>
      </c>
      <c r="R329">
        <v>2.83</v>
      </c>
      <c r="S329">
        <v>1.47</v>
      </c>
      <c r="T329">
        <v>1.36</v>
      </c>
      <c r="U329" t="s">
        <v>54</v>
      </c>
      <c r="V329" t="s">
        <v>73</v>
      </c>
      <c r="W329">
        <v>4</v>
      </c>
      <c r="X329" s="25" t="s">
        <v>490</v>
      </c>
    </row>
    <row r="330" spans="1:24" x14ac:dyDescent="0.55000000000000004">
      <c r="A330" t="s">
        <v>459</v>
      </c>
      <c r="B330" s="24">
        <v>45638</v>
      </c>
      <c r="C330" t="s">
        <v>383</v>
      </c>
      <c r="D330" t="s">
        <v>46</v>
      </c>
      <c r="E330" t="s">
        <v>488</v>
      </c>
      <c r="F330" t="s">
        <v>489</v>
      </c>
      <c r="G330" t="s">
        <v>58</v>
      </c>
      <c r="H330" t="s">
        <v>59</v>
      </c>
      <c r="I330" t="s">
        <v>60</v>
      </c>
      <c r="J330" t="s">
        <v>39</v>
      </c>
      <c r="K330" t="s">
        <v>40</v>
      </c>
      <c r="L330" t="s">
        <v>66</v>
      </c>
      <c r="M330" t="s">
        <v>86</v>
      </c>
      <c r="N330">
        <v>1</v>
      </c>
      <c r="O330">
        <v>3.77</v>
      </c>
      <c r="P330">
        <v>3.77</v>
      </c>
      <c r="Q330">
        <v>0</v>
      </c>
      <c r="R330">
        <v>3.77</v>
      </c>
      <c r="S330">
        <v>1.88</v>
      </c>
      <c r="T330">
        <v>1.89</v>
      </c>
      <c r="U330" t="s">
        <v>93</v>
      </c>
      <c r="V330" t="s">
        <v>144</v>
      </c>
      <c r="W330">
        <v>3</v>
      </c>
      <c r="X330" s="25" t="s">
        <v>490</v>
      </c>
    </row>
    <row r="331" spans="1:24" x14ac:dyDescent="0.55000000000000004">
      <c r="A331" t="s">
        <v>460</v>
      </c>
      <c r="B331" s="24">
        <v>45638</v>
      </c>
      <c r="C331" t="s">
        <v>383</v>
      </c>
      <c r="D331" t="s">
        <v>46</v>
      </c>
      <c r="E331" t="s">
        <v>488</v>
      </c>
      <c r="F331" t="s">
        <v>489</v>
      </c>
      <c r="G331" t="s">
        <v>114</v>
      </c>
      <c r="H331" t="s">
        <v>115</v>
      </c>
      <c r="I331" t="s">
        <v>116</v>
      </c>
      <c r="J331" t="s">
        <v>39</v>
      </c>
      <c r="K331" t="s">
        <v>51</v>
      </c>
      <c r="L331" t="s">
        <v>41</v>
      </c>
      <c r="M331" t="s">
        <v>125</v>
      </c>
      <c r="N331">
        <v>4</v>
      </c>
      <c r="O331">
        <v>2.81</v>
      </c>
      <c r="P331">
        <v>11.24</v>
      </c>
      <c r="Q331">
        <v>0</v>
      </c>
      <c r="R331">
        <v>11.24</v>
      </c>
      <c r="S331">
        <v>6.03</v>
      </c>
      <c r="T331">
        <v>5.21</v>
      </c>
      <c r="U331" t="s">
        <v>43</v>
      </c>
      <c r="V331" t="s">
        <v>63</v>
      </c>
      <c r="W331">
        <v>5</v>
      </c>
      <c r="X331" s="25" t="s">
        <v>490</v>
      </c>
    </row>
    <row r="332" spans="1:24" x14ac:dyDescent="0.55000000000000004">
      <c r="A332" t="s">
        <v>461</v>
      </c>
      <c r="B332" s="24">
        <v>45638</v>
      </c>
      <c r="C332" t="s">
        <v>383</v>
      </c>
      <c r="D332" t="s">
        <v>46</v>
      </c>
      <c r="E332" t="s">
        <v>486</v>
      </c>
      <c r="F332" t="s">
        <v>487</v>
      </c>
      <c r="G332" t="s">
        <v>76</v>
      </c>
      <c r="H332" t="s">
        <v>77</v>
      </c>
      <c r="I332" t="s">
        <v>38</v>
      </c>
      <c r="J332" t="s">
        <v>39</v>
      </c>
      <c r="K332" t="s">
        <v>40</v>
      </c>
      <c r="L332" t="s">
        <v>100</v>
      </c>
      <c r="M332" t="s">
        <v>243</v>
      </c>
      <c r="N332">
        <v>2</v>
      </c>
      <c r="O332">
        <v>5.73</v>
      </c>
      <c r="P332">
        <v>11.46</v>
      </c>
      <c r="Q332">
        <v>0</v>
      </c>
      <c r="R332">
        <v>11.46</v>
      </c>
      <c r="S332">
        <v>4.82</v>
      </c>
      <c r="T332">
        <v>6.64</v>
      </c>
      <c r="U332" t="s">
        <v>93</v>
      </c>
      <c r="V332" t="s">
        <v>73</v>
      </c>
      <c r="W332">
        <v>3</v>
      </c>
      <c r="X332" s="25" t="s">
        <v>490</v>
      </c>
    </row>
    <row r="333" spans="1:24" x14ac:dyDescent="0.55000000000000004">
      <c r="A333" t="s">
        <v>462</v>
      </c>
      <c r="B333" s="24">
        <v>45640</v>
      </c>
      <c r="C333" t="s">
        <v>383</v>
      </c>
      <c r="D333" t="s">
        <v>69</v>
      </c>
      <c r="E333" t="s">
        <v>488</v>
      </c>
      <c r="F333" t="s">
        <v>489</v>
      </c>
      <c r="G333" t="s">
        <v>89</v>
      </c>
      <c r="H333" t="s">
        <v>90</v>
      </c>
      <c r="I333" t="s">
        <v>91</v>
      </c>
      <c r="J333" t="s">
        <v>39</v>
      </c>
      <c r="K333" t="s">
        <v>92</v>
      </c>
      <c r="L333" t="s">
        <v>66</v>
      </c>
      <c r="M333" t="s">
        <v>86</v>
      </c>
      <c r="N333">
        <v>4</v>
      </c>
      <c r="O333">
        <v>3.85</v>
      </c>
      <c r="P333">
        <v>15.4</v>
      </c>
      <c r="Q333">
        <v>0.77</v>
      </c>
      <c r="R333">
        <v>14.63</v>
      </c>
      <c r="S333">
        <v>5.65</v>
      </c>
      <c r="T333">
        <v>8.98</v>
      </c>
      <c r="U333" t="s">
        <v>93</v>
      </c>
      <c r="V333" t="s">
        <v>63</v>
      </c>
      <c r="W333">
        <v>5</v>
      </c>
      <c r="X333" s="25" t="s">
        <v>490</v>
      </c>
    </row>
    <row r="334" spans="1:24" x14ac:dyDescent="0.55000000000000004">
      <c r="A334" t="s">
        <v>463</v>
      </c>
      <c r="B334" s="24">
        <v>45641</v>
      </c>
      <c r="C334" t="s">
        <v>383</v>
      </c>
      <c r="D334" t="s">
        <v>99</v>
      </c>
      <c r="E334" t="s">
        <v>488</v>
      </c>
      <c r="F334" t="s">
        <v>489</v>
      </c>
      <c r="G334" t="s">
        <v>76</v>
      </c>
      <c r="H334" t="s">
        <v>77</v>
      </c>
      <c r="I334" t="s">
        <v>38</v>
      </c>
      <c r="J334" t="s">
        <v>39</v>
      </c>
      <c r="K334" t="s">
        <v>40</v>
      </c>
      <c r="L334" t="s">
        <v>78</v>
      </c>
      <c r="M334" t="s">
        <v>143</v>
      </c>
      <c r="N334">
        <v>1</v>
      </c>
      <c r="O334">
        <v>2.72</v>
      </c>
      <c r="P334">
        <v>2.72</v>
      </c>
      <c r="Q334">
        <v>0</v>
      </c>
      <c r="R334">
        <v>2.72</v>
      </c>
      <c r="S334">
        <v>0.97</v>
      </c>
      <c r="T334">
        <v>1.75</v>
      </c>
      <c r="U334" t="s">
        <v>102</v>
      </c>
      <c r="V334" t="s">
        <v>63</v>
      </c>
      <c r="W334">
        <v>4</v>
      </c>
      <c r="X334" s="25" t="s">
        <v>490</v>
      </c>
    </row>
    <row r="335" spans="1:24" x14ac:dyDescent="0.55000000000000004">
      <c r="A335" t="s">
        <v>464</v>
      </c>
      <c r="B335" s="24">
        <v>45641</v>
      </c>
      <c r="C335" t="s">
        <v>383</v>
      </c>
      <c r="D335" t="s">
        <v>99</v>
      </c>
      <c r="E335" t="s">
        <v>486</v>
      </c>
      <c r="F335" t="s">
        <v>487</v>
      </c>
      <c r="G335" t="s">
        <v>104</v>
      </c>
      <c r="H335" t="s">
        <v>105</v>
      </c>
      <c r="I335" t="s">
        <v>106</v>
      </c>
      <c r="J335" t="s">
        <v>39</v>
      </c>
      <c r="K335" t="s">
        <v>85</v>
      </c>
      <c r="L335" t="s">
        <v>78</v>
      </c>
      <c r="M335" t="s">
        <v>79</v>
      </c>
      <c r="N335">
        <v>2</v>
      </c>
      <c r="O335">
        <v>3.51</v>
      </c>
      <c r="P335">
        <v>7.02</v>
      </c>
      <c r="Q335">
        <v>0</v>
      </c>
      <c r="R335">
        <v>7.02</v>
      </c>
      <c r="S335">
        <v>2.81</v>
      </c>
      <c r="T335">
        <v>4.21</v>
      </c>
      <c r="U335" t="s">
        <v>123</v>
      </c>
      <c r="V335" t="s">
        <v>73</v>
      </c>
      <c r="W335">
        <v>5</v>
      </c>
      <c r="X335" s="25" t="s">
        <v>490</v>
      </c>
    </row>
    <row r="336" spans="1:24" x14ac:dyDescent="0.55000000000000004">
      <c r="A336" t="s">
        <v>465</v>
      </c>
      <c r="B336" s="24">
        <v>45642</v>
      </c>
      <c r="C336" t="s">
        <v>383</v>
      </c>
      <c r="D336" t="s">
        <v>75</v>
      </c>
      <c r="E336" t="s">
        <v>488</v>
      </c>
      <c r="F336" t="s">
        <v>489</v>
      </c>
      <c r="G336" t="s">
        <v>89</v>
      </c>
      <c r="H336" t="s">
        <v>90</v>
      </c>
      <c r="I336" t="s">
        <v>91</v>
      </c>
      <c r="J336" t="s">
        <v>39</v>
      </c>
      <c r="K336" t="s">
        <v>92</v>
      </c>
      <c r="L336" t="s">
        <v>100</v>
      </c>
      <c r="M336" t="s">
        <v>215</v>
      </c>
      <c r="N336">
        <v>2</v>
      </c>
      <c r="O336">
        <v>7.99</v>
      </c>
      <c r="P336">
        <v>15.98</v>
      </c>
      <c r="Q336">
        <v>0</v>
      </c>
      <c r="R336">
        <v>15.98</v>
      </c>
      <c r="S336">
        <v>6.58</v>
      </c>
      <c r="T336">
        <v>9.4</v>
      </c>
      <c r="U336" t="s">
        <v>93</v>
      </c>
      <c r="V336" t="s">
        <v>55</v>
      </c>
      <c r="W336">
        <v>3</v>
      </c>
      <c r="X336" s="25" t="s">
        <v>490</v>
      </c>
    </row>
    <row r="337" spans="1:24" x14ac:dyDescent="0.55000000000000004">
      <c r="A337" t="s">
        <v>466</v>
      </c>
      <c r="B337" s="24">
        <v>45643</v>
      </c>
      <c r="C337" t="s">
        <v>383</v>
      </c>
      <c r="D337" t="s">
        <v>81</v>
      </c>
      <c r="E337" t="s">
        <v>488</v>
      </c>
      <c r="F337" t="s">
        <v>489</v>
      </c>
      <c r="G337" t="s">
        <v>58</v>
      </c>
      <c r="H337" t="s">
        <v>59</v>
      </c>
      <c r="I337" t="s">
        <v>60</v>
      </c>
      <c r="J337" t="s">
        <v>39</v>
      </c>
      <c r="K337" t="s">
        <v>40</v>
      </c>
      <c r="L337" t="s">
        <v>52</v>
      </c>
      <c r="M337" t="s">
        <v>169</v>
      </c>
      <c r="N337">
        <v>1</v>
      </c>
      <c r="O337">
        <v>3.05</v>
      </c>
      <c r="P337">
        <v>3.05</v>
      </c>
      <c r="Q337">
        <v>0</v>
      </c>
      <c r="R337">
        <v>3.05</v>
      </c>
      <c r="S337">
        <v>1.1200000000000001</v>
      </c>
      <c r="T337">
        <v>1.93</v>
      </c>
      <c r="U337" t="s">
        <v>93</v>
      </c>
      <c r="V337" t="s">
        <v>55</v>
      </c>
      <c r="W337">
        <v>4</v>
      </c>
      <c r="X337" s="25" t="s">
        <v>490</v>
      </c>
    </row>
    <row r="338" spans="1:24" x14ac:dyDescent="0.55000000000000004">
      <c r="A338" t="s">
        <v>467</v>
      </c>
      <c r="B338" s="24">
        <v>45644</v>
      </c>
      <c r="C338" t="s">
        <v>383</v>
      </c>
      <c r="D338" t="s">
        <v>34</v>
      </c>
      <c r="E338" t="s">
        <v>488</v>
      </c>
      <c r="F338" t="s">
        <v>489</v>
      </c>
      <c r="G338" t="s">
        <v>82</v>
      </c>
      <c r="H338" t="s">
        <v>83</v>
      </c>
      <c r="I338" t="s">
        <v>84</v>
      </c>
      <c r="J338" t="s">
        <v>39</v>
      </c>
      <c r="K338" t="s">
        <v>85</v>
      </c>
      <c r="L338" t="s">
        <v>61</v>
      </c>
      <c r="M338" t="s">
        <v>161</v>
      </c>
      <c r="N338">
        <v>1</v>
      </c>
      <c r="O338">
        <v>10.95</v>
      </c>
      <c r="P338">
        <v>10.95</v>
      </c>
      <c r="Q338">
        <v>1.0900000000000001</v>
      </c>
      <c r="R338">
        <v>9.86</v>
      </c>
      <c r="S338">
        <v>4.12</v>
      </c>
      <c r="T338">
        <v>5.74</v>
      </c>
      <c r="U338" t="s">
        <v>43</v>
      </c>
      <c r="V338" t="s">
        <v>87</v>
      </c>
      <c r="W338">
        <v>5</v>
      </c>
      <c r="X338" s="25" t="s">
        <v>491</v>
      </c>
    </row>
    <row r="339" spans="1:24" x14ac:dyDescent="0.55000000000000004">
      <c r="A339" t="s">
        <v>468</v>
      </c>
      <c r="B339" s="24">
        <v>45644</v>
      </c>
      <c r="C339" t="s">
        <v>383</v>
      </c>
      <c r="D339" t="s">
        <v>34</v>
      </c>
      <c r="E339" t="s">
        <v>484</v>
      </c>
      <c r="F339" t="s">
        <v>485</v>
      </c>
      <c r="G339" t="s">
        <v>104</v>
      </c>
      <c r="H339" t="s">
        <v>105</v>
      </c>
      <c r="I339" t="s">
        <v>106</v>
      </c>
      <c r="J339" t="s">
        <v>39</v>
      </c>
      <c r="K339" t="s">
        <v>85</v>
      </c>
      <c r="L339" t="s">
        <v>100</v>
      </c>
      <c r="M339" t="s">
        <v>117</v>
      </c>
      <c r="N339">
        <v>1</v>
      </c>
      <c r="O339">
        <v>3.35</v>
      </c>
      <c r="P339">
        <v>3.35</v>
      </c>
      <c r="Q339">
        <v>0.17</v>
      </c>
      <c r="R339">
        <v>3.18</v>
      </c>
      <c r="S339">
        <v>1.41</v>
      </c>
      <c r="T339">
        <v>1.77</v>
      </c>
      <c r="U339" t="s">
        <v>43</v>
      </c>
      <c r="V339" t="s">
        <v>44</v>
      </c>
      <c r="W339">
        <v>4</v>
      </c>
      <c r="X339" s="25" t="s">
        <v>490</v>
      </c>
    </row>
    <row r="340" spans="1:24" x14ac:dyDescent="0.55000000000000004">
      <c r="A340" t="s">
        <v>469</v>
      </c>
      <c r="B340" s="24">
        <v>45645</v>
      </c>
      <c r="C340" t="s">
        <v>383</v>
      </c>
      <c r="D340" t="s">
        <v>46</v>
      </c>
      <c r="E340" t="s">
        <v>482</v>
      </c>
      <c r="F340" t="s">
        <v>483</v>
      </c>
      <c r="G340" t="s">
        <v>36</v>
      </c>
      <c r="H340" t="s">
        <v>37</v>
      </c>
      <c r="I340" t="s">
        <v>38</v>
      </c>
      <c r="J340" t="s">
        <v>39</v>
      </c>
      <c r="K340" t="s">
        <v>40</v>
      </c>
      <c r="L340" t="s">
        <v>52</v>
      </c>
      <c r="M340" t="s">
        <v>71</v>
      </c>
      <c r="N340">
        <v>1</v>
      </c>
      <c r="O340">
        <v>4.03</v>
      </c>
      <c r="P340">
        <v>4.03</v>
      </c>
      <c r="Q340">
        <v>0</v>
      </c>
      <c r="R340">
        <v>4.03</v>
      </c>
      <c r="S340">
        <v>2.14</v>
      </c>
      <c r="T340">
        <v>1.89</v>
      </c>
      <c r="U340" t="s">
        <v>72</v>
      </c>
      <c r="V340" t="s">
        <v>144</v>
      </c>
      <c r="W340">
        <v>3</v>
      </c>
      <c r="X340" s="25" t="s">
        <v>490</v>
      </c>
    </row>
    <row r="341" spans="1:24" x14ac:dyDescent="0.55000000000000004">
      <c r="A341" t="s">
        <v>470</v>
      </c>
      <c r="B341" s="24">
        <v>45645</v>
      </c>
      <c r="C341" t="s">
        <v>383</v>
      </c>
      <c r="D341" t="s">
        <v>46</v>
      </c>
      <c r="E341" t="s">
        <v>484</v>
      </c>
      <c r="F341" t="s">
        <v>485</v>
      </c>
      <c r="G341" t="s">
        <v>76</v>
      </c>
      <c r="H341" t="s">
        <v>77</v>
      </c>
      <c r="I341" t="s">
        <v>38</v>
      </c>
      <c r="J341" t="s">
        <v>39</v>
      </c>
      <c r="K341" t="s">
        <v>40</v>
      </c>
      <c r="L341" t="s">
        <v>41</v>
      </c>
      <c r="M341" t="s">
        <v>109</v>
      </c>
      <c r="N341">
        <v>3</v>
      </c>
      <c r="O341">
        <v>2.46</v>
      </c>
      <c r="P341">
        <v>7.38</v>
      </c>
      <c r="Q341">
        <v>0.37</v>
      </c>
      <c r="R341">
        <v>7.01</v>
      </c>
      <c r="S341">
        <v>3.52</v>
      </c>
      <c r="T341">
        <v>3.49</v>
      </c>
      <c r="U341" t="s">
        <v>43</v>
      </c>
      <c r="V341" t="s">
        <v>55</v>
      </c>
      <c r="W341">
        <v>5</v>
      </c>
      <c r="X341" s="25" t="s">
        <v>490</v>
      </c>
    </row>
    <row r="342" spans="1:24" x14ac:dyDescent="0.55000000000000004">
      <c r="A342" t="s">
        <v>471</v>
      </c>
      <c r="B342" s="24">
        <v>45648</v>
      </c>
      <c r="C342" t="s">
        <v>383</v>
      </c>
      <c r="D342" t="s">
        <v>99</v>
      </c>
      <c r="E342" t="s">
        <v>486</v>
      </c>
      <c r="F342" t="s">
        <v>487</v>
      </c>
      <c r="G342" t="s">
        <v>82</v>
      </c>
      <c r="H342" t="s">
        <v>83</v>
      </c>
      <c r="I342" t="s">
        <v>84</v>
      </c>
      <c r="J342" t="s">
        <v>39</v>
      </c>
      <c r="K342" t="s">
        <v>85</v>
      </c>
      <c r="L342" t="s">
        <v>41</v>
      </c>
      <c r="M342" t="s">
        <v>109</v>
      </c>
      <c r="N342">
        <v>1</v>
      </c>
      <c r="O342">
        <v>2.5299999999999998</v>
      </c>
      <c r="P342">
        <v>2.5299999999999998</v>
      </c>
      <c r="Q342">
        <v>0.25</v>
      </c>
      <c r="R342">
        <v>2.2799999999999998</v>
      </c>
      <c r="S342">
        <v>0.94</v>
      </c>
      <c r="T342">
        <v>1.34</v>
      </c>
      <c r="U342" t="s">
        <v>54</v>
      </c>
      <c r="V342" t="s">
        <v>63</v>
      </c>
      <c r="W342">
        <v>5</v>
      </c>
      <c r="X342" s="25" t="s">
        <v>491</v>
      </c>
    </row>
    <row r="343" spans="1:24" x14ac:dyDescent="0.55000000000000004">
      <c r="A343" t="s">
        <v>472</v>
      </c>
      <c r="B343" s="24">
        <v>45652</v>
      </c>
      <c r="C343" t="s">
        <v>383</v>
      </c>
      <c r="D343" t="s">
        <v>46</v>
      </c>
      <c r="E343" t="s">
        <v>484</v>
      </c>
      <c r="F343" t="s">
        <v>485</v>
      </c>
      <c r="G343" t="s">
        <v>58</v>
      </c>
      <c r="H343" t="s">
        <v>59</v>
      </c>
      <c r="I343" t="s">
        <v>60</v>
      </c>
      <c r="J343" t="s">
        <v>39</v>
      </c>
      <c r="K343" t="s">
        <v>40</v>
      </c>
      <c r="L343" t="s">
        <v>52</v>
      </c>
      <c r="M343" t="s">
        <v>135</v>
      </c>
      <c r="N343">
        <v>2</v>
      </c>
      <c r="O343">
        <v>2.04</v>
      </c>
      <c r="P343">
        <v>4.08</v>
      </c>
      <c r="Q343">
        <v>0</v>
      </c>
      <c r="R343">
        <v>4.08</v>
      </c>
      <c r="S343">
        <v>1.61</v>
      </c>
      <c r="T343">
        <v>2.4700000000000002</v>
      </c>
      <c r="U343" t="s">
        <v>93</v>
      </c>
      <c r="V343" t="s">
        <v>63</v>
      </c>
      <c r="W343">
        <v>4</v>
      </c>
      <c r="X343" s="25" t="s">
        <v>490</v>
      </c>
    </row>
    <row r="344" spans="1:24" x14ac:dyDescent="0.55000000000000004">
      <c r="A344" t="s">
        <v>473</v>
      </c>
      <c r="B344" s="24">
        <v>45652</v>
      </c>
      <c r="C344" t="s">
        <v>383</v>
      </c>
      <c r="D344" t="s">
        <v>46</v>
      </c>
      <c r="E344" t="s">
        <v>486</v>
      </c>
      <c r="F344" t="s">
        <v>487</v>
      </c>
      <c r="G344" t="s">
        <v>48</v>
      </c>
      <c r="H344" t="s">
        <v>49</v>
      </c>
      <c r="I344" t="s">
        <v>50</v>
      </c>
      <c r="J344" t="s">
        <v>39</v>
      </c>
      <c r="K344" t="s">
        <v>51</v>
      </c>
      <c r="L344" t="s">
        <v>66</v>
      </c>
      <c r="M344" t="s">
        <v>183</v>
      </c>
      <c r="N344">
        <v>1</v>
      </c>
      <c r="O344">
        <v>1.53</v>
      </c>
      <c r="P344">
        <v>1.53</v>
      </c>
      <c r="Q344">
        <v>0.15</v>
      </c>
      <c r="R344">
        <v>1.38</v>
      </c>
      <c r="S344">
        <v>0.56000000000000005</v>
      </c>
      <c r="T344">
        <v>0.82</v>
      </c>
      <c r="U344" t="s">
        <v>102</v>
      </c>
      <c r="V344" t="s">
        <v>87</v>
      </c>
      <c r="W344">
        <v>4</v>
      </c>
      <c r="X344" s="25" t="s">
        <v>491</v>
      </c>
    </row>
    <row r="345" spans="1:24" x14ac:dyDescent="0.55000000000000004">
      <c r="A345" t="s">
        <v>474</v>
      </c>
      <c r="B345" s="24">
        <v>45653</v>
      </c>
      <c r="C345" t="s">
        <v>383</v>
      </c>
      <c r="D345" t="s">
        <v>57</v>
      </c>
      <c r="E345" t="s">
        <v>486</v>
      </c>
      <c r="F345" t="s">
        <v>487</v>
      </c>
      <c r="G345" t="s">
        <v>114</v>
      </c>
      <c r="H345" t="s">
        <v>115</v>
      </c>
      <c r="I345" t="s">
        <v>116</v>
      </c>
      <c r="J345" t="s">
        <v>39</v>
      </c>
      <c r="K345" t="s">
        <v>51</v>
      </c>
      <c r="L345" t="s">
        <v>61</v>
      </c>
      <c r="M345" t="s">
        <v>62</v>
      </c>
      <c r="N345">
        <v>1</v>
      </c>
      <c r="O345">
        <v>10.77</v>
      </c>
      <c r="P345">
        <v>10.77</v>
      </c>
      <c r="Q345">
        <v>0.54</v>
      </c>
      <c r="R345">
        <v>10.23</v>
      </c>
      <c r="S345">
        <v>3.89</v>
      </c>
      <c r="T345">
        <v>6.34</v>
      </c>
      <c r="U345" t="s">
        <v>102</v>
      </c>
      <c r="V345" t="s">
        <v>55</v>
      </c>
      <c r="W345">
        <v>4</v>
      </c>
      <c r="X345" s="25" t="s">
        <v>490</v>
      </c>
    </row>
    <row r="346" spans="1:24" x14ac:dyDescent="0.55000000000000004">
      <c r="A346" t="s">
        <v>475</v>
      </c>
      <c r="B346" s="24">
        <v>45654</v>
      </c>
      <c r="C346" t="s">
        <v>383</v>
      </c>
      <c r="D346" t="s">
        <v>69</v>
      </c>
      <c r="E346" t="s">
        <v>486</v>
      </c>
      <c r="F346" t="s">
        <v>487</v>
      </c>
      <c r="G346" t="s">
        <v>131</v>
      </c>
      <c r="H346" t="s">
        <v>132</v>
      </c>
      <c r="I346" t="s">
        <v>133</v>
      </c>
      <c r="J346" t="s">
        <v>39</v>
      </c>
      <c r="K346" t="s">
        <v>134</v>
      </c>
      <c r="L346" t="s">
        <v>66</v>
      </c>
      <c r="M346" t="s">
        <v>183</v>
      </c>
      <c r="N346">
        <v>3</v>
      </c>
      <c r="O346">
        <v>1.48</v>
      </c>
      <c r="P346">
        <v>4.4400000000000004</v>
      </c>
      <c r="Q346">
        <v>0.22</v>
      </c>
      <c r="R346">
        <v>4.22</v>
      </c>
      <c r="S346">
        <v>2.2999999999999998</v>
      </c>
      <c r="T346">
        <v>1.92</v>
      </c>
      <c r="U346" t="s">
        <v>43</v>
      </c>
      <c r="V346" t="s">
        <v>55</v>
      </c>
      <c r="W346">
        <v>5</v>
      </c>
      <c r="X346" s="25" t="s">
        <v>490</v>
      </c>
    </row>
    <row r="347" spans="1:24" x14ac:dyDescent="0.55000000000000004">
      <c r="A347" t="s">
        <v>476</v>
      </c>
      <c r="B347" s="24">
        <v>45655</v>
      </c>
      <c r="C347" t="s">
        <v>383</v>
      </c>
      <c r="D347" t="s">
        <v>99</v>
      </c>
      <c r="E347" t="s">
        <v>484</v>
      </c>
      <c r="F347" t="s">
        <v>485</v>
      </c>
      <c r="G347" t="s">
        <v>76</v>
      </c>
      <c r="H347" t="s">
        <v>77</v>
      </c>
      <c r="I347" t="s">
        <v>38</v>
      </c>
      <c r="J347" t="s">
        <v>39</v>
      </c>
      <c r="K347" t="s">
        <v>40</v>
      </c>
      <c r="L347" t="s">
        <v>66</v>
      </c>
      <c r="M347" t="s">
        <v>67</v>
      </c>
      <c r="N347">
        <v>1</v>
      </c>
      <c r="O347">
        <v>0.99</v>
      </c>
      <c r="P347">
        <v>0.99</v>
      </c>
      <c r="Q347">
        <v>0</v>
      </c>
      <c r="R347">
        <v>0.99</v>
      </c>
      <c r="S347">
        <v>0.51</v>
      </c>
      <c r="T347">
        <v>0.48</v>
      </c>
      <c r="U347" t="s">
        <v>102</v>
      </c>
      <c r="V347" t="s">
        <v>63</v>
      </c>
      <c r="W347">
        <v>5</v>
      </c>
      <c r="X347" s="25" t="s">
        <v>490</v>
      </c>
    </row>
    <row r="348" spans="1:24" x14ac:dyDescent="0.55000000000000004">
      <c r="A348" t="s">
        <v>477</v>
      </c>
      <c r="B348" s="24">
        <v>45655</v>
      </c>
      <c r="C348" t="s">
        <v>383</v>
      </c>
      <c r="D348" t="s">
        <v>99</v>
      </c>
      <c r="E348" t="s">
        <v>482</v>
      </c>
      <c r="F348" t="s">
        <v>483</v>
      </c>
      <c r="G348" t="s">
        <v>82</v>
      </c>
      <c r="H348" t="s">
        <v>83</v>
      </c>
      <c r="I348" t="s">
        <v>84</v>
      </c>
      <c r="J348" t="s">
        <v>39</v>
      </c>
      <c r="K348" t="s">
        <v>85</v>
      </c>
      <c r="L348" t="s">
        <v>61</v>
      </c>
      <c r="M348" t="s">
        <v>161</v>
      </c>
      <c r="N348">
        <v>4</v>
      </c>
      <c r="O348">
        <v>11.22</v>
      </c>
      <c r="P348">
        <v>44.88</v>
      </c>
      <c r="Q348">
        <v>4.49</v>
      </c>
      <c r="R348">
        <v>40.39</v>
      </c>
      <c r="S348">
        <v>21.63</v>
      </c>
      <c r="T348">
        <v>18.760000000000002</v>
      </c>
      <c r="U348" t="s">
        <v>54</v>
      </c>
      <c r="V348" t="s">
        <v>44</v>
      </c>
      <c r="W348">
        <v>4</v>
      </c>
      <c r="X348" s="25" t="s">
        <v>491</v>
      </c>
    </row>
    <row r="349" spans="1:24" x14ac:dyDescent="0.55000000000000004">
      <c r="A349" t="s">
        <v>478</v>
      </c>
      <c r="B349" s="24">
        <v>45656</v>
      </c>
      <c r="C349" t="s">
        <v>383</v>
      </c>
      <c r="D349" t="s">
        <v>75</v>
      </c>
      <c r="E349" t="s">
        <v>486</v>
      </c>
      <c r="F349" t="s">
        <v>487</v>
      </c>
      <c r="G349" t="s">
        <v>58</v>
      </c>
      <c r="H349" t="s">
        <v>59</v>
      </c>
      <c r="I349" t="s">
        <v>60</v>
      </c>
      <c r="J349" t="s">
        <v>39</v>
      </c>
      <c r="K349" t="s">
        <v>40</v>
      </c>
      <c r="L349" t="s">
        <v>41</v>
      </c>
      <c r="M349" t="s">
        <v>109</v>
      </c>
      <c r="N349">
        <v>2</v>
      </c>
      <c r="O349">
        <v>2.4500000000000002</v>
      </c>
      <c r="P349">
        <v>4.9000000000000004</v>
      </c>
      <c r="Q349">
        <v>0</v>
      </c>
      <c r="R349">
        <v>4.9000000000000004</v>
      </c>
      <c r="S349">
        <v>2.56</v>
      </c>
      <c r="T349">
        <v>2.34</v>
      </c>
      <c r="U349" t="s">
        <v>43</v>
      </c>
      <c r="V349" t="s">
        <v>63</v>
      </c>
      <c r="W349">
        <v>4</v>
      </c>
      <c r="X349" s="25" t="s">
        <v>490</v>
      </c>
    </row>
    <row r="350" spans="1:24" x14ac:dyDescent="0.55000000000000004">
      <c r="A350" t="s">
        <v>479</v>
      </c>
      <c r="B350" s="24">
        <v>45656</v>
      </c>
      <c r="C350" t="s">
        <v>383</v>
      </c>
      <c r="D350" t="s">
        <v>75</v>
      </c>
      <c r="E350" t="s">
        <v>482</v>
      </c>
      <c r="F350" t="s">
        <v>483</v>
      </c>
      <c r="G350" t="s">
        <v>89</v>
      </c>
      <c r="H350" t="s">
        <v>90</v>
      </c>
      <c r="I350" t="s">
        <v>91</v>
      </c>
      <c r="J350" t="s">
        <v>39</v>
      </c>
      <c r="K350" t="s">
        <v>92</v>
      </c>
      <c r="L350" t="s">
        <v>78</v>
      </c>
      <c r="M350" t="s">
        <v>141</v>
      </c>
      <c r="N350">
        <v>3</v>
      </c>
      <c r="O350">
        <v>6.33</v>
      </c>
      <c r="P350">
        <v>18.989999999999998</v>
      </c>
      <c r="Q350">
        <v>0.95</v>
      </c>
      <c r="R350">
        <v>18.04</v>
      </c>
      <c r="S350">
        <v>8.5399999999999991</v>
      </c>
      <c r="T350">
        <v>9.5</v>
      </c>
      <c r="U350" t="s">
        <v>123</v>
      </c>
      <c r="V350" t="s">
        <v>144</v>
      </c>
      <c r="W350">
        <v>2</v>
      </c>
      <c r="X350" s="25" t="s">
        <v>490</v>
      </c>
    </row>
    <row r="351" spans="1:24" x14ac:dyDescent="0.55000000000000004">
      <c r="A351" t="s">
        <v>480</v>
      </c>
      <c r="B351" s="24">
        <v>45657</v>
      </c>
      <c r="C351" t="s">
        <v>383</v>
      </c>
      <c r="D351" t="s">
        <v>81</v>
      </c>
      <c r="E351" t="s">
        <v>484</v>
      </c>
      <c r="F351" t="s">
        <v>485</v>
      </c>
      <c r="G351" t="s">
        <v>104</v>
      </c>
      <c r="H351" t="s">
        <v>105</v>
      </c>
      <c r="I351" t="s">
        <v>106</v>
      </c>
      <c r="J351" t="s">
        <v>39</v>
      </c>
      <c r="K351" t="s">
        <v>85</v>
      </c>
      <c r="L351" t="s">
        <v>61</v>
      </c>
      <c r="M351" t="s">
        <v>121</v>
      </c>
      <c r="N351">
        <v>1</v>
      </c>
      <c r="O351">
        <v>9.64</v>
      </c>
      <c r="P351">
        <v>9.64</v>
      </c>
      <c r="Q351">
        <v>0</v>
      </c>
      <c r="R351">
        <v>9.64</v>
      </c>
      <c r="S351">
        <v>5.27</v>
      </c>
      <c r="T351">
        <v>4.37</v>
      </c>
      <c r="U351" t="s">
        <v>93</v>
      </c>
      <c r="V351" t="s">
        <v>44</v>
      </c>
      <c r="W351">
        <v>2</v>
      </c>
      <c r="X351" s="25" t="s">
        <v>490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87D49E-99EB-46A4-B3A9-696D14AFB451}">
  <sheetPr>
    <tabColor rgb="FFC00000"/>
  </sheetPr>
  <dimension ref="B6:BA25"/>
  <sheetViews>
    <sheetView showGridLines="0" topLeftCell="B1" zoomScale="70" zoomScaleNormal="70" workbookViewId="0">
      <selection activeCell="B6" sqref="B6"/>
    </sheetView>
  </sheetViews>
  <sheetFormatPr defaultRowHeight="14.4" x14ac:dyDescent="0.55000000000000004"/>
  <cols>
    <col min="2" max="2" width="17.47265625" bestFit="1" customWidth="1"/>
    <col min="3" max="3" width="7.734375" bestFit="1" customWidth="1"/>
    <col min="4" max="4" width="8.26171875" bestFit="1" customWidth="1"/>
    <col min="5" max="5" width="13.05078125" bestFit="1" customWidth="1"/>
    <col min="6" max="6" width="14.9453125" bestFit="1" customWidth="1"/>
    <col min="7" max="7" width="14.83984375" bestFit="1" customWidth="1"/>
    <col min="8" max="8" width="10" bestFit="1" customWidth="1"/>
    <col min="9" max="9" width="11.1015625" bestFit="1" customWidth="1"/>
    <col min="10" max="10" width="13.05078125" bestFit="1" customWidth="1"/>
    <col min="11" max="11" width="9.3125" bestFit="1" customWidth="1"/>
    <col min="12" max="12" width="10.3671875" bestFit="1" customWidth="1"/>
    <col min="13" max="13" width="12.20703125" bestFit="1" customWidth="1"/>
    <col min="14" max="14" width="18.3125" bestFit="1" customWidth="1"/>
    <col min="18" max="18" width="17.47265625" bestFit="1" customWidth="1"/>
    <col min="19" max="19" width="13.05078125" bestFit="1" customWidth="1"/>
    <col min="20" max="22" width="18.3125" bestFit="1" customWidth="1"/>
    <col min="23" max="23" width="17.47265625" bestFit="1" customWidth="1"/>
    <col min="24" max="24" width="13.05078125" bestFit="1" customWidth="1"/>
    <col min="25" max="25" width="14.83984375" bestFit="1" customWidth="1"/>
    <col min="26" max="26" width="11.1015625" bestFit="1" customWidth="1"/>
    <col min="27" max="27" width="9.3125" bestFit="1" customWidth="1"/>
    <col min="28" max="29" width="10.3671875" bestFit="1" customWidth="1"/>
    <col min="30" max="30" width="18.3125" bestFit="1" customWidth="1"/>
    <col min="31" max="31" width="17.47265625" bestFit="1" customWidth="1"/>
    <col min="32" max="32" width="10.3671875" bestFit="1" customWidth="1"/>
    <col min="33" max="34" width="18.3125" bestFit="1" customWidth="1"/>
    <col min="35" max="35" width="18.3125" customWidth="1"/>
    <col min="36" max="36" width="18.3125" bestFit="1" customWidth="1"/>
    <col min="37" max="37" width="17.47265625" bestFit="1" customWidth="1"/>
    <col min="38" max="38" width="10.3671875" bestFit="1" customWidth="1"/>
    <col min="39" max="40" width="18.3125" bestFit="1" customWidth="1"/>
    <col min="44" max="44" width="17.47265625" bestFit="1" customWidth="1"/>
    <col min="45" max="45" width="10.3671875" bestFit="1" customWidth="1"/>
    <col min="48" max="48" width="17.47265625" bestFit="1" customWidth="1"/>
    <col min="49" max="49" width="10.3671875" bestFit="1" customWidth="1"/>
    <col min="52" max="52" width="17.47265625" bestFit="1" customWidth="1"/>
    <col min="53" max="53" width="7.734375" bestFit="1" customWidth="1"/>
    <col min="54" max="54" width="19.20703125" bestFit="1" customWidth="1"/>
  </cols>
  <sheetData>
    <row r="6" spans="2:53" x14ac:dyDescent="0.55000000000000004">
      <c r="B6" s="28" t="s">
        <v>505</v>
      </c>
      <c r="C6" t="s">
        <v>494</v>
      </c>
      <c r="D6" t="s">
        <v>520</v>
      </c>
      <c r="E6" t="s">
        <v>495</v>
      </c>
      <c r="F6" t="s">
        <v>499</v>
      </c>
      <c r="G6" t="s">
        <v>496</v>
      </c>
      <c r="H6" t="s">
        <v>500</v>
      </c>
      <c r="I6" t="s">
        <v>497</v>
      </c>
      <c r="J6" t="s">
        <v>501</v>
      </c>
      <c r="K6" t="s">
        <v>498</v>
      </c>
      <c r="L6" t="s">
        <v>503</v>
      </c>
      <c r="M6" t="s">
        <v>502</v>
      </c>
      <c r="N6" t="s">
        <v>504</v>
      </c>
      <c r="R6" s="28" t="s">
        <v>505</v>
      </c>
      <c r="S6" t="s">
        <v>495</v>
      </c>
      <c r="T6" t="s">
        <v>504</v>
      </c>
      <c r="W6" s="28" t="s">
        <v>505</v>
      </c>
      <c r="X6" t="s">
        <v>495</v>
      </c>
      <c r="Y6" t="s">
        <v>496</v>
      </c>
      <c r="Z6" t="s">
        <v>497</v>
      </c>
      <c r="AA6" t="s">
        <v>498</v>
      </c>
      <c r="AB6" t="s">
        <v>503</v>
      </c>
      <c r="AE6" s="28" t="s">
        <v>505</v>
      </c>
      <c r="AF6" t="s">
        <v>503</v>
      </c>
      <c r="AK6" s="28" t="s">
        <v>505</v>
      </c>
      <c r="AL6" t="s">
        <v>503</v>
      </c>
      <c r="AR6" s="28" t="s">
        <v>505</v>
      </c>
      <c r="AS6" t="s">
        <v>503</v>
      </c>
      <c r="AV6" s="28" t="s">
        <v>505</v>
      </c>
      <c r="AW6" t="s">
        <v>503</v>
      </c>
      <c r="AZ6" s="28" t="s">
        <v>505</v>
      </c>
      <c r="BA6" t="s">
        <v>494</v>
      </c>
    </row>
    <row r="7" spans="2:53" x14ac:dyDescent="0.55000000000000004">
      <c r="B7" s="29" t="s">
        <v>507</v>
      </c>
      <c r="C7" s="25">
        <v>25</v>
      </c>
      <c r="D7" s="27">
        <v>7.1428571428571425E-2</v>
      </c>
      <c r="E7" s="26">
        <v>262.83</v>
      </c>
      <c r="F7" s="27">
        <v>7.7067884129874462E-2</v>
      </c>
      <c r="G7" s="26">
        <v>10.700000000000001</v>
      </c>
      <c r="H7" s="27">
        <v>5.5197317513541413E-2</v>
      </c>
      <c r="I7" s="26">
        <v>252.13000000000002</v>
      </c>
      <c r="J7" s="27">
        <v>7.8385957494435013E-2</v>
      </c>
      <c r="K7" s="26">
        <v>109.00999999999999</v>
      </c>
      <c r="L7" s="26">
        <v>143.12000000000003</v>
      </c>
      <c r="M7" s="27">
        <v>8.0192300149604073E-2</v>
      </c>
      <c r="N7" s="27">
        <v>0.56764367588148978</v>
      </c>
      <c r="R7" s="29" t="s">
        <v>507</v>
      </c>
      <c r="S7" s="26">
        <v>262.83</v>
      </c>
      <c r="T7" s="27">
        <v>0.56764367588148978</v>
      </c>
      <c r="W7" s="29" t="s">
        <v>507</v>
      </c>
      <c r="X7" s="26">
        <v>262.83</v>
      </c>
      <c r="Y7" s="26">
        <v>10.700000000000001</v>
      </c>
      <c r="Z7" s="26">
        <v>252.13000000000002</v>
      </c>
      <c r="AA7" s="26">
        <v>109.00999999999999</v>
      </c>
      <c r="AB7" s="26">
        <v>143.12000000000003</v>
      </c>
      <c r="AE7" s="29" t="s">
        <v>132</v>
      </c>
      <c r="AF7" s="26">
        <v>308.45999999999992</v>
      </c>
      <c r="AH7" t="str">
        <f>AE7</f>
        <v>Cape Cod Mall</v>
      </c>
      <c r="AI7" s="32">
        <f>GETPIVOTDATA("Gross_Profit",$AE$6,"Store_Name","Cape Cod Mall")</f>
        <v>308.45999999999992</v>
      </c>
      <c r="AK7" s="29" t="s">
        <v>61</v>
      </c>
      <c r="AL7" s="26">
        <v>688.06000000000006</v>
      </c>
      <c r="AN7" t="str">
        <f>AK7</f>
        <v>Combo Meals</v>
      </c>
      <c r="AO7" s="32">
        <f>GETPIVOTDATA("Gross_Profit",$AK$6,"Category","Combo Meals")</f>
        <v>688.06000000000006</v>
      </c>
      <c r="AR7" s="29" t="s">
        <v>488</v>
      </c>
      <c r="AS7" s="26">
        <v>522.34999999999991</v>
      </c>
      <c r="AV7" s="29" t="s">
        <v>43</v>
      </c>
      <c r="AW7" s="26">
        <v>414.28000000000014</v>
      </c>
      <c r="AZ7" s="29">
        <v>5</v>
      </c>
      <c r="BA7" s="25">
        <v>126</v>
      </c>
    </row>
    <row r="8" spans="2:53" x14ac:dyDescent="0.55000000000000004">
      <c r="B8" s="29" t="s">
        <v>508</v>
      </c>
      <c r="C8" s="25">
        <v>32</v>
      </c>
      <c r="D8" s="27">
        <v>9.1428571428571428E-2</v>
      </c>
      <c r="E8" s="26">
        <v>399.55</v>
      </c>
      <c r="F8" s="27">
        <v>0.11715737588590093</v>
      </c>
      <c r="G8" s="26">
        <v>31.04</v>
      </c>
      <c r="H8" s="27">
        <v>0.16012380706732013</v>
      </c>
      <c r="I8" s="26">
        <v>368.5100000000001</v>
      </c>
      <c r="J8" s="27">
        <v>0.11456791812269167</v>
      </c>
      <c r="K8" s="26">
        <v>157.19</v>
      </c>
      <c r="L8" s="26">
        <v>211.32</v>
      </c>
      <c r="M8" s="27">
        <v>0.11840579141709284</v>
      </c>
      <c r="N8" s="27">
        <v>0.5734444112778484</v>
      </c>
      <c r="R8" s="29" t="s">
        <v>508</v>
      </c>
      <c r="S8" s="26">
        <v>399.55</v>
      </c>
      <c r="T8" s="27">
        <v>0.5734444112778484</v>
      </c>
      <c r="W8" s="29" t="s">
        <v>508</v>
      </c>
      <c r="X8" s="26">
        <v>399.55</v>
      </c>
      <c r="Y8" s="26">
        <v>31.04</v>
      </c>
      <c r="Z8" s="26">
        <v>368.5100000000001</v>
      </c>
      <c r="AA8" s="26">
        <v>157.19</v>
      </c>
      <c r="AB8" s="26">
        <v>211.32</v>
      </c>
      <c r="AE8" s="29" t="s">
        <v>77</v>
      </c>
      <c r="AF8" s="26">
        <v>210.44999999999996</v>
      </c>
      <c r="AH8" t="str">
        <f>AE8</f>
        <v>Downtown Boston</v>
      </c>
      <c r="AI8" s="32">
        <f>GETPIVOTDATA("Gross_Profit",$AE$6,"Store_Name","Downtown Boston")</f>
        <v>210.44999999999996</v>
      </c>
      <c r="AK8" s="29" t="s">
        <v>100</v>
      </c>
      <c r="AL8" s="26">
        <v>329.48999999999984</v>
      </c>
      <c r="AN8" t="str">
        <f>AK8</f>
        <v>Burgers</v>
      </c>
      <c r="AO8" s="32">
        <f>GETPIVOTDATA("Gross_Profit",$AK$6,"Category","Burgers")</f>
        <v>329.48999999999984</v>
      </c>
      <c r="AR8" s="29" t="s">
        <v>484</v>
      </c>
      <c r="AS8" s="26">
        <v>466.99999999999989</v>
      </c>
      <c r="AV8" s="29" t="s">
        <v>93</v>
      </c>
      <c r="AW8" s="26">
        <v>327.85999999999996</v>
      </c>
      <c r="AZ8" s="29">
        <v>4</v>
      </c>
      <c r="BA8" s="25">
        <v>144</v>
      </c>
    </row>
    <row r="9" spans="2:53" x14ac:dyDescent="0.55000000000000004">
      <c r="B9" s="29" t="s">
        <v>509</v>
      </c>
      <c r="C9" s="25">
        <v>30</v>
      </c>
      <c r="D9" s="27">
        <v>8.5714285714285715E-2</v>
      </c>
      <c r="E9" s="26">
        <v>303.68000000000006</v>
      </c>
      <c r="F9" s="27">
        <v>8.9046056586235517E-2</v>
      </c>
      <c r="G9" s="26">
        <v>12.319999999999997</v>
      </c>
      <c r="H9" s="27">
        <v>6.3554294557647661E-2</v>
      </c>
      <c r="I9" s="26">
        <v>291.35999999999996</v>
      </c>
      <c r="J9" s="27">
        <v>9.0582368522502593E-2</v>
      </c>
      <c r="K9" s="26">
        <v>126.89000000000004</v>
      </c>
      <c r="L9" s="26">
        <v>164.47</v>
      </c>
      <c r="M9" s="27">
        <v>9.215502798774021E-2</v>
      </c>
      <c r="N9" s="27">
        <v>0.56449066447007146</v>
      </c>
      <c r="R9" s="29" t="s">
        <v>509</v>
      </c>
      <c r="S9" s="26">
        <v>303.68000000000006</v>
      </c>
      <c r="T9" s="27">
        <v>0.56449066447007146</v>
      </c>
      <c r="W9" s="29" t="s">
        <v>509</v>
      </c>
      <c r="X9" s="26">
        <v>303.68000000000006</v>
      </c>
      <c r="Y9" s="26">
        <v>12.319999999999997</v>
      </c>
      <c r="Z9" s="26">
        <v>291.35999999999996</v>
      </c>
      <c r="AA9" s="26">
        <v>126.89000000000004</v>
      </c>
      <c r="AB9" s="26">
        <v>164.47</v>
      </c>
      <c r="AE9" s="29" t="s">
        <v>115</v>
      </c>
      <c r="AF9" s="26">
        <v>199.26000000000008</v>
      </c>
      <c r="AH9" t="str">
        <f>AE9</f>
        <v>Burlington Mall</v>
      </c>
      <c r="AI9" s="32">
        <f>GETPIVOTDATA("Gross_Profit",$AE$6,"Store_Name","Burlington Mall")</f>
        <v>199.26000000000008</v>
      </c>
      <c r="AK9" s="29" t="s">
        <v>506</v>
      </c>
      <c r="AL9" s="26">
        <v>1017.55</v>
      </c>
      <c r="AR9" s="29" t="s">
        <v>482</v>
      </c>
      <c r="AS9" s="26">
        <v>407.37000000000012</v>
      </c>
      <c r="AV9" s="29" t="s">
        <v>72</v>
      </c>
      <c r="AW9" s="26">
        <v>319.87999999999994</v>
      </c>
      <c r="AZ9" s="29">
        <v>3</v>
      </c>
      <c r="BA9" s="25">
        <v>57</v>
      </c>
    </row>
    <row r="10" spans="2:53" x14ac:dyDescent="0.55000000000000004">
      <c r="B10" s="29" t="s">
        <v>510</v>
      </c>
      <c r="C10" s="25">
        <v>28</v>
      </c>
      <c r="D10" s="27">
        <v>0.08</v>
      </c>
      <c r="E10" s="26">
        <v>280.30999999999995</v>
      </c>
      <c r="F10" s="27">
        <v>8.2193427692596382E-2</v>
      </c>
      <c r="G10" s="26">
        <v>14.749999999999998</v>
      </c>
      <c r="H10" s="27">
        <v>7.6089760123807068E-2</v>
      </c>
      <c r="I10" s="26">
        <v>265.56000000000006</v>
      </c>
      <c r="J10" s="27">
        <v>8.2561277405394692E-2</v>
      </c>
      <c r="K10" s="26">
        <v>118.29999999999998</v>
      </c>
      <c r="L10" s="26">
        <v>147.26</v>
      </c>
      <c r="M10" s="27">
        <v>8.2512004751472134E-2</v>
      </c>
      <c r="N10" s="27">
        <v>0.55452628407892735</v>
      </c>
      <c r="R10" s="29" t="s">
        <v>510</v>
      </c>
      <c r="S10" s="26">
        <v>280.30999999999995</v>
      </c>
      <c r="T10" s="27">
        <v>0.55452628407892735</v>
      </c>
      <c r="W10" s="29" t="s">
        <v>510</v>
      </c>
      <c r="X10" s="26">
        <v>280.30999999999995</v>
      </c>
      <c r="Y10" s="26">
        <v>14.749999999999998</v>
      </c>
      <c r="Z10" s="26">
        <v>265.56000000000006</v>
      </c>
      <c r="AA10" s="26">
        <v>118.29999999999998</v>
      </c>
      <c r="AB10" s="26">
        <v>147.26</v>
      </c>
      <c r="AE10" s="29" t="s">
        <v>506</v>
      </c>
      <c r="AF10" s="26">
        <v>718.17</v>
      </c>
      <c r="AR10" s="29" t="s">
        <v>486</v>
      </c>
      <c r="AS10" s="26">
        <v>387.98999999999978</v>
      </c>
      <c r="AV10" s="29" t="s">
        <v>54</v>
      </c>
      <c r="AW10" s="26">
        <v>251.52999999999994</v>
      </c>
      <c r="AZ10" s="29">
        <v>2</v>
      </c>
      <c r="BA10" s="25">
        <v>14</v>
      </c>
    </row>
    <row r="11" spans="2:53" x14ac:dyDescent="0.55000000000000004">
      <c r="B11" s="29" t="s">
        <v>511</v>
      </c>
      <c r="C11" s="25">
        <v>24</v>
      </c>
      <c r="D11" s="27">
        <v>6.8571428571428575E-2</v>
      </c>
      <c r="E11" s="26">
        <v>205.23</v>
      </c>
      <c r="F11" s="27">
        <v>6.0178221131431481E-2</v>
      </c>
      <c r="G11" s="26">
        <v>9.66</v>
      </c>
      <c r="H11" s="27">
        <v>4.9832344596337383E-2</v>
      </c>
      <c r="I11" s="26">
        <v>195.56999999999996</v>
      </c>
      <c r="J11" s="27">
        <v>6.0801736037705355E-2</v>
      </c>
      <c r="K11" s="26">
        <v>88.989999999999981</v>
      </c>
      <c r="L11" s="26">
        <v>106.57999999999998</v>
      </c>
      <c r="M11" s="27">
        <v>5.9718385620072659E-2</v>
      </c>
      <c r="N11" s="27">
        <v>0.54497111008845944</v>
      </c>
      <c r="R11" s="29" t="s">
        <v>511</v>
      </c>
      <c r="S11" s="26">
        <v>205.23</v>
      </c>
      <c r="T11" s="27">
        <v>0.54497111008845944</v>
      </c>
      <c r="W11" s="29" t="s">
        <v>511</v>
      </c>
      <c r="X11" s="26">
        <v>205.23</v>
      </c>
      <c r="Y11" s="26">
        <v>9.66</v>
      </c>
      <c r="Z11" s="26">
        <v>195.56999999999996</v>
      </c>
      <c r="AA11" s="26">
        <v>88.989999999999981</v>
      </c>
      <c r="AB11" s="26">
        <v>106.57999999999998</v>
      </c>
      <c r="AR11" s="29" t="s">
        <v>506</v>
      </c>
      <c r="AS11" s="26">
        <v>1784.7099999999996</v>
      </c>
      <c r="AV11" s="29" t="s">
        <v>123</v>
      </c>
      <c r="AW11" s="26">
        <v>235.67000000000004</v>
      </c>
      <c r="AZ11" s="29">
        <v>1</v>
      </c>
      <c r="BA11" s="25">
        <v>9</v>
      </c>
    </row>
    <row r="12" spans="2:53" x14ac:dyDescent="0.55000000000000004">
      <c r="B12" s="29" t="s">
        <v>512</v>
      </c>
      <c r="C12" s="25">
        <v>27</v>
      </c>
      <c r="D12" s="27">
        <v>7.7142857142857138E-2</v>
      </c>
      <c r="E12" s="26">
        <v>297.93</v>
      </c>
      <c r="F12" s="27">
        <v>8.7360022519550662E-2</v>
      </c>
      <c r="G12" s="26">
        <v>16.649999999999999</v>
      </c>
      <c r="H12" s="27">
        <v>8.5891152953314426E-2</v>
      </c>
      <c r="I12" s="26">
        <v>281.27999999999997</v>
      </c>
      <c r="J12" s="27">
        <v>8.7448546876748801E-2</v>
      </c>
      <c r="K12" s="26">
        <v>124.35</v>
      </c>
      <c r="L12" s="26">
        <v>156.93000000000004</v>
      </c>
      <c r="M12" s="27">
        <v>8.7930251973709947E-2</v>
      </c>
      <c r="N12" s="27">
        <v>0.5579138225255974</v>
      </c>
      <c r="R12" s="29" t="s">
        <v>512</v>
      </c>
      <c r="S12" s="26">
        <v>297.93</v>
      </c>
      <c r="T12" s="27">
        <v>0.5579138225255974</v>
      </c>
      <c r="W12" s="29" t="s">
        <v>512</v>
      </c>
      <c r="X12" s="26">
        <v>297.93</v>
      </c>
      <c r="Y12" s="26">
        <v>16.649999999999999</v>
      </c>
      <c r="Z12" s="26">
        <v>281.27999999999997</v>
      </c>
      <c r="AA12" s="26">
        <v>124.35</v>
      </c>
      <c r="AB12" s="26">
        <v>156.93000000000004</v>
      </c>
      <c r="AV12" s="29" t="s">
        <v>102</v>
      </c>
      <c r="AW12" s="26">
        <v>235.48999999999998</v>
      </c>
      <c r="AZ12" s="29" t="s">
        <v>506</v>
      </c>
      <c r="BA12" s="25">
        <v>350</v>
      </c>
    </row>
    <row r="13" spans="2:53" x14ac:dyDescent="0.55000000000000004">
      <c r="B13" s="29" t="s">
        <v>513</v>
      </c>
      <c r="C13" s="25">
        <v>28</v>
      </c>
      <c r="D13" s="27">
        <v>0.08</v>
      </c>
      <c r="E13" s="26">
        <v>223.72000000000003</v>
      </c>
      <c r="F13" s="27">
        <v>6.5599920243258059E-2</v>
      </c>
      <c r="G13" s="26">
        <v>14.02</v>
      </c>
      <c r="H13" s="27">
        <v>7.2323961826154248E-2</v>
      </c>
      <c r="I13" s="26">
        <v>209.70000000000002</v>
      </c>
      <c r="J13" s="27">
        <v>6.5194682451842387E-2</v>
      </c>
      <c r="K13" s="26">
        <v>93.77</v>
      </c>
      <c r="L13" s="26">
        <v>115.93</v>
      </c>
      <c r="M13" s="27">
        <v>6.495733200351872E-2</v>
      </c>
      <c r="N13" s="27">
        <v>0.55283738674296612</v>
      </c>
      <c r="R13" s="29" t="s">
        <v>513</v>
      </c>
      <c r="S13" s="26">
        <v>223.72000000000003</v>
      </c>
      <c r="T13" s="27">
        <v>0.55283738674296612</v>
      </c>
      <c r="W13" s="29" t="s">
        <v>513</v>
      </c>
      <c r="X13" s="26">
        <v>223.72000000000003</v>
      </c>
      <c r="Y13" s="26">
        <v>14.02</v>
      </c>
      <c r="Z13" s="26">
        <v>209.70000000000002</v>
      </c>
      <c r="AA13" s="26">
        <v>93.77</v>
      </c>
      <c r="AB13" s="26">
        <v>115.93</v>
      </c>
      <c r="AV13" s="29" t="s">
        <v>506</v>
      </c>
      <c r="AW13" s="26">
        <v>1784.71</v>
      </c>
    </row>
    <row r="14" spans="2:53" x14ac:dyDescent="0.55000000000000004">
      <c r="B14" s="29" t="s">
        <v>514</v>
      </c>
      <c r="C14" s="25">
        <v>34</v>
      </c>
      <c r="D14" s="27">
        <v>9.7142857142857142E-2</v>
      </c>
      <c r="E14" s="26">
        <v>306.39999999999998</v>
      </c>
      <c r="F14" s="27">
        <v>8.9843624005606415E-2</v>
      </c>
      <c r="G14" s="26">
        <v>16.010000000000005</v>
      </c>
      <c r="H14" s="27">
        <v>8.2589631158111979E-2</v>
      </c>
      <c r="I14" s="26">
        <v>290.39</v>
      </c>
      <c r="J14" s="27">
        <v>9.0280800368099712E-2</v>
      </c>
      <c r="K14" s="26">
        <v>132.43</v>
      </c>
      <c r="L14" s="26">
        <v>157.96</v>
      </c>
      <c r="M14" s="27">
        <v>8.8507376548570826E-2</v>
      </c>
      <c r="N14" s="27">
        <v>0.54395812527979615</v>
      </c>
      <c r="R14" s="29" t="s">
        <v>514</v>
      </c>
      <c r="S14" s="26">
        <v>306.39999999999998</v>
      </c>
      <c r="T14" s="27">
        <v>0.54395812527979615</v>
      </c>
      <c r="W14" s="29" t="s">
        <v>514</v>
      </c>
      <c r="X14" s="26">
        <v>306.39999999999998</v>
      </c>
      <c r="Y14" s="26">
        <v>16.010000000000005</v>
      </c>
      <c r="Z14" s="26">
        <v>290.39</v>
      </c>
      <c r="AA14" s="26">
        <v>132.43</v>
      </c>
      <c r="AB14" s="26">
        <v>157.96</v>
      </c>
    </row>
    <row r="15" spans="2:53" x14ac:dyDescent="0.55000000000000004">
      <c r="B15" s="29" t="s">
        <v>515</v>
      </c>
      <c r="C15" s="25">
        <v>24</v>
      </c>
      <c r="D15" s="27">
        <v>6.8571428571428575E-2</v>
      </c>
      <c r="E15" s="26">
        <v>252.29999999999998</v>
      </c>
      <c r="F15" s="27">
        <v>7.3980242612971606E-2</v>
      </c>
      <c r="G15" s="26">
        <v>14.83</v>
      </c>
      <c r="H15" s="27">
        <v>7.6502450348207393E-2</v>
      </c>
      <c r="I15" s="26">
        <v>237.46999999999994</v>
      </c>
      <c r="J15" s="27">
        <v>7.3828236727892266E-2</v>
      </c>
      <c r="K15" s="26">
        <v>103.91</v>
      </c>
      <c r="L15" s="26">
        <v>133.56</v>
      </c>
      <c r="M15" s="27">
        <v>7.4835687590700931E-2</v>
      </c>
      <c r="N15" s="27">
        <v>0.56242893839221808</v>
      </c>
      <c r="R15" s="29" t="s">
        <v>515</v>
      </c>
      <c r="S15" s="26">
        <v>252.29999999999998</v>
      </c>
      <c r="T15" s="27">
        <v>0.56242893839221808</v>
      </c>
      <c r="W15" s="29" t="s">
        <v>515</v>
      </c>
      <c r="X15" s="26">
        <v>252.29999999999998</v>
      </c>
      <c r="Y15" s="26">
        <v>14.83</v>
      </c>
      <c r="Z15" s="26">
        <v>237.46999999999994</v>
      </c>
      <c r="AA15" s="26">
        <v>103.91</v>
      </c>
      <c r="AB15" s="26">
        <v>133.56</v>
      </c>
    </row>
    <row r="16" spans="2:53" x14ac:dyDescent="0.55000000000000004">
      <c r="B16" s="29" t="s">
        <v>516</v>
      </c>
      <c r="C16" s="25">
        <v>32</v>
      </c>
      <c r="D16" s="27">
        <v>9.1428571428571428E-2</v>
      </c>
      <c r="E16" s="26">
        <v>331.11000000000013</v>
      </c>
      <c r="F16" s="27">
        <v>9.7089172142612118E-2</v>
      </c>
      <c r="G16" s="26">
        <v>29.569999999999997</v>
      </c>
      <c r="H16" s="27">
        <v>0.15254062419396441</v>
      </c>
      <c r="I16" s="26">
        <v>301.54000000000002</v>
      </c>
      <c r="J16" s="27">
        <v>9.3747279668710312E-2</v>
      </c>
      <c r="K16" s="26">
        <v>138.78999999999996</v>
      </c>
      <c r="L16" s="26">
        <v>162.75</v>
      </c>
      <c r="M16" s="27">
        <v>9.1191285979234621E-2</v>
      </c>
      <c r="N16" s="27">
        <v>0.53972938913576973</v>
      </c>
      <c r="R16" s="29" t="s">
        <v>516</v>
      </c>
      <c r="S16" s="26">
        <v>331.11000000000013</v>
      </c>
      <c r="T16" s="27">
        <v>0.53972938913576973</v>
      </c>
      <c r="W16" s="29" t="s">
        <v>516</v>
      </c>
      <c r="X16" s="26">
        <v>331.11000000000013</v>
      </c>
      <c r="Y16" s="26">
        <v>29.569999999999997</v>
      </c>
      <c r="Z16" s="26">
        <v>301.54000000000002</v>
      </c>
      <c r="AA16" s="26">
        <v>138.78999999999996</v>
      </c>
      <c r="AB16" s="26">
        <v>162.75</v>
      </c>
    </row>
    <row r="17" spans="2:28" x14ac:dyDescent="0.55000000000000004">
      <c r="B17" s="29" t="s">
        <v>517</v>
      </c>
      <c r="C17" s="25">
        <v>27</v>
      </c>
      <c r="D17" s="27">
        <v>7.7142857142857138E-2</v>
      </c>
      <c r="E17" s="26">
        <v>196.22</v>
      </c>
      <c r="F17" s="27">
        <v>5.7536279054765313E-2</v>
      </c>
      <c r="G17" s="26">
        <v>9.64</v>
      </c>
      <c r="H17" s="27">
        <v>4.9729172040237309E-2</v>
      </c>
      <c r="I17" s="26">
        <v>186.58</v>
      </c>
      <c r="J17" s="27">
        <v>5.8006789946899152E-2</v>
      </c>
      <c r="K17" s="26">
        <v>86.86</v>
      </c>
      <c r="L17" s="26">
        <v>99.720000000000013</v>
      </c>
      <c r="M17" s="27">
        <v>5.5874623888474827E-2</v>
      </c>
      <c r="N17" s="27">
        <v>0.53446242898488583</v>
      </c>
      <c r="R17" s="29" t="s">
        <v>517</v>
      </c>
      <c r="S17" s="26">
        <v>196.22</v>
      </c>
      <c r="T17" s="27">
        <v>0.53446242898488583</v>
      </c>
      <c r="W17" s="29" t="s">
        <v>517</v>
      </c>
      <c r="X17" s="26">
        <v>196.22</v>
      </c>
      <c r="Y17" s="26">
        <v>9.64</v>
      </c>
      <c r="Z17" s="26">
        <v>186.58</v>
      </c>
      <c r="AA17" s="26">
        <v>86.86</v>
      </c>
      <c r="AB17" s="26">
        <v>99.720000000000013</v>
      </c>
    </row>
    <row r="18" spans="2:28" x14ac:dyDescent="0.55000000000000004">
      <c r="B18" s="29" t="s">
        <v>518</v>
      </c>
      <c r="C18" s="25">
        <v>39</v>
      </c>
      <c r="D18" s="27">
        <v>0.11142857142857143</v>
      </c>
      <c r="E18" s="26">
        <v>351.09</v>
      </c>
      <c r="F18" s="27">
        <v>0.10294777399519699</v>
      </c>
      <c r="G18" s="26">
        <v>14.66</v>
      </c>
      <c r="H18" s="27">
        <v>7.5625483621356737E-2</v>
      </c>
      <c r="I18" s="26">
        <v>336.43000000000006</v>
      </c>
      <c r="J18" s="27">
        <v>0.10459440637707838</v>
      </c>
      <c r="K18" s="26">
        <v>151.32000000000002</v>
      </c>
      <c r="L18" s="26">
        <v>185.10999999999999</v>
      </c>
      <c r="M18" s="27">
        <v>0.10371993208980719</v>
      </c>
      <c r="N18" s="27">
        <v>0.55021847040989191</v>
      </c>
      <c r="R18" s="29" t="s">
        <v>518</v>
      </c>
      <c r="S18" s="26">
        <v>351.09</v>
      </c>
      <c r="T18" s="27">
        <v>0.55021847040989191</v>
      </c>
      <c r="W18" s="29" t="s">
        <v>518</v>
      </c>
      <c r="X18" s="26">
        <v>351.09</v>
      </c>
      <c r="Y18" s="26">
        <v>14.66</v>
      </c>
      <c r="Z18" s="26">
        <v>336.43000000000006</v>
      </c>
      <c r="AA18" s="26">
        <v>151.32000000000002</v>
      </c>
      <c r="AB18" s="26">
        <v>185.10999999999999</v>
      </c>
    </row>
    <row r="19" spans="2:28" x14ac:dyDescent="0.55000000000000004">
      <c r="B19" s="29" t="s">
        <v>506</v>
      </c>
      <c r="C19" s="25">
        <v>350</v>
      </c>
      <c r="D19" s="27">
        <v>1</v>
      </c>
      <c r="E19" s="26">
        <v>3410.3700000000003</v>
      </c>
      <c r="F19" s="27">
        <v>1</v>
      </c>
      <c r="G19" s="26">
        <v>193.84999999999997</v>
      </c>
      <c r="H19" s="27">
        <v>1</v>
      </c>
      <c r="I19" s="26">
        <v>3216.5199999999991</v>
      </c>
      <c r="J19" s="27">
        <v>1</v>
      </c>
      <c r="K19" s="26">
        <v>1431.8100000000009</v>
      </c>
      <c r="L19" s="26">
        <v>1784.7100000000019</v>
      </c>
      <c r="M19" s="27">
        <v>1</v>
      </c>
      <c r="N19" s="27">
        <v>0.55485742355091916</v>
      </c>
      <c r="R19" s="29" t="s">
        <v>506</v>
      </c>
      <c r="S19" s="26">
        <v>3410.3700000000003</v>
      </c>
      <c r="T19" s="27">
        <v>0.55485742355091916</v>
      </c>
      <c r="W19" s="29" t="s">
        <v>506</v>
      </c>
      <c r="X19" s="26">
        <v>3410.3700000000003</v>
      </c>
      <c r="Y19" s="26">
        <v>193.85</v>
      </c>
      <c r="Z19" s="26">
        <v>3216.5199999999995</v>
      </c>
      <c r="AA19" s="26">
        <v>1431.81</v>
      </c>
      <c r="AB19" s="26">
        <v>1784.71</v>
      </c>
    </row>
    <row r="25" spans="2:28" x14ac:dyDescent="0.55000000000000004">
      <c r="C25">
        <f>GETPIVOTDATA("# Orders",$B$6)</f>
        <v>350</v>
      </c>
      <c r="D25" s="27">
        <f>GETPIVOTDATA("Orders %",$B$6)</f>
        <v>1</v>
      </c>
      <c r="E25" s="32">
        <f>GETPIVOTDATA("Gross Revenue",$B$6)</f>
        <v>3410.3700000000003</v>
      </c>
      <c r="F25" s="27">
        <f>GETPIVOTDATA("Gross Revenue %",$B$6)</f>
        <v>1</v>
      </c>
      <c r="G25" s="32">
        <f>GETPIVOTDATA("Discount Amount",$B$6)</f>
        <v>193.84999999999997</v>
      </c>
      <c r="H25" s="27">
        <f>GETPIVOTDATA("Discount %",$B$6)</f>
        <v>1</v>
      </c>
      <c r="I25" s="32">
        <f>GETPIVOTDATA("Net Revenue",$B$6)</f>
        <v>3216.5199999999991</v>
      </c>
      <c r="J25" s="27">
        <f>GETPIVOTDATA("Net Revenue %",$B$6)</f>
        <v>1</v>
      </c>
      <c r="K25" s="32">
        <f>GETPIVOTDATA("COGS",$B$6)</f>
        <v>1431.8100000000009</v>
      </c>
      <c r="L25" s="32">
        <f>GETPIVOTDATA("Gross Profit",$B$6)</f>
        <v>1784.7100000000019</v>
      </c>
      <c r="M25" s="27">
        <f>GETPIVOTDATA("Gross Profit %",$B$6)</f>
        <v>1</v>
      </c>
      <c r="N25" s="27">
        <f>GETPIVOTDATA("Gross Profit Margin %",$B$6)</f>
        <v>0.55485742355091916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6D2A85-0BA8-4E55-A6E7-64F58176E424}">
  <dimension ref="A1:Q35"/>
  <sheetViews>
    <sheetView showGridLines="0" showRowColHeaders="0" workbookViewId="0">
      <selection activeCell="N3" sqref="N3"/>
    </sheetView>
  </sheetViews>
  <sheetFormatPr defaultColWidth="0" defaultRowHeight="14.4" zeroHeight="1" x14ac:dyDescent="0.55000000000000004"/>
  <cols>
    <col min="1" max="1" width="21" style="30" customWidth="1"/>
    <col min="2" max="15" width="8.83984375" customWidth="1"/>
    <col min="16" max="16" width="16.47265625" customWidth="1"/>
    <col min="17" max="17" width="8.83984375" customWidth="1"/>
    <col min="18" max="18" width="10.68359375" customWidth="1"/>
    <col min="19" max="16384" width="0.734375" hidden="1"/>
  </cols>
  <sheetData>
    <row r="1" spans="1:17" x14ac:dyDescent="0.55000000000000004">
      <c r="A1" s="31"/>
    </row>
    <row r="2" spans="1:17" ht="36.9" customHeight="1" thickBot="1" x14ac:dyDescent="0.6">
      <c r="A2" s="31"/>
      <c r="C2" s="33" t="s">
        <v>521</v>
      </c>
      <c r="D2" s="34"/>
      <c r="E2" s="34"/>
      <c r="F2" s="34"/>
      <c r="G2" s="34"/>
      <c r="H2" s="34"/>
      <c r="I2" s="34"/>
      <c r="J2" s="34"/>
      <c r="K2" s="35"/>
      <c r="O2" s="39" t="s">
        <v>519</v>
      </c>
      <c r="P2" s="39"/>
      <c r="Q2" s="39"/>
    </row>
    <row r="3" spans="1:17" ht="4.5" customHeight="1" thickTop="1" x14ac:dyDescent="0.55000000000000004">
      <c r="A3" s="31"/>
      <c r="C3" s="37"/>
      <c r="D3" s="38"/>
      <c r="E3" s="38"/>
      <c r="F3" s="38"/>
      <c r="G3" s="38"/>
      <c r="H3" s="38"/>
      <c r="I3" s="38"/>
      <c r="J3" s="38"/>
      <c r="K3" s="40"/>
      <c r="O3" s="36"/>
      <c r="P3" s="36"/>
    </row>
    <row r="4" spans="1:17" x14ac:dyDescent="0.55000000000000004">
      <c r="A4" s="31"/>
    </row>
    <row r="5" spans="1:17" x14ac:dyDescent="0.55000000000000004"/>
    <row r="6" spans="1:17" x14ac:dyDescent="0.55000000000000004"/>
    <row r="7" spans="1:17" x14ac:dyDescent="0.55000000000000004"/>
    <row r="8" spans="1:17" x14ac:dyDescent="0.55000000000000004"/>
    <row r="9" spans="1:17" x14ac:dyDescent="0.55000000000000004"/>
    <row r="10" spans="1:17" x14ac:dyDescent="0.55000000000000004"/>
    <row r="11" spans="1:17" x14ac:dyDescent="0.55000000000000004"/>
    <row r="12" spans="1:17" x14ac:dyDescent="0.55000000000000004"/>
    <row r="13" spans="1:17" x14ac:dyDescent="0.55000000000000004"/>
    <row r="14" spans="1:17" x14ac:dyDescent="0.55000000000000004"/>
    <row r="15" spans="1:17" x14ac:dyDescent="0.55000000000000004"/>
    <row r="16" spans="1:17" x14ac:dyDescent="0.55000000000000004"/>
    <row r="17" spans="1:1" x14ac:dyDescent="0.55000000000000004"/>
    <row r="18" spans="1:1" x14ac:dyDescent="0.55000000000000004"/>
    <row r="19" spans="1:1" x14ac:dyDescent="0.55000000000000004"/>
    <row r="20" spans="1:1" x14ac:dyDescent="0.55000000000000004"/>
    <row r="21" spans="1:1" x14ac:dyDescent="0.55000000000000004"/>
    <row r="22" spans="1:1" x14ac:dyDescent="0.55000000000000004"/>
    <row r="23" spans="1:1" x14ac:dyDescent="0.55000000000000004"/>
    <row r="24" spans="1:1" x14ac:dyDescent="0.55000000000000004"/>
    <row r="25" spans="1:1" x14ac:dyDescent="0.55000000000000004"/>
    <row r="26" spans="1:1" x14ac:dyDescent="0.55000000000000004"/>
    <row r="27" spans="1:1" x14ac:dyDescent="0.55000000000000004"/>
    <row r="28" spans="1:1" x14ac:dyDescent="0.55000000000000004"/>
    <row r="29" spans="1:1" x14ac:dyDescent="0.55000000000000004"/>
    <row r="30" spans="1:1" ht="16.5" x14ac:dyDescent="0.9">
      <c r="A30" s="43"/>
    </row>
    <row r="31" spans="1:1" x14ac:dyDescent="0.55000000000000004"/>
    <row r="32" spans="1:1" ht="18.3" x14ac:dyDescent="0.55000000000000004">
      <c r="A32" s="44" t="s">
        <v>523</v>
      </c>
    </row>
    <row r="33" x14ac:dyDescent="0.55000000000000004"/>
    <row r="34" x14ac:dyDescent="0.55000000000000004"/>
    <row r="35" x14ac:dyDescent="0.55000000000000004"/>
  </sheetData>
  <mergeCells count="1">
    <mergeCell ref="O2:Q2"/>
  </mergeCells>
  <pageMargins left="0.511811024" right="0.511811024" top="0.78740157499999996" bottom="0.78740157499999996" header="0.31496062000000002" footer="0.31496062000000002"/>
  <pageSetup orientation="portrait" horizontalDpi="4294967293" verticalDpi="0" r:id="rId1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AD0CD5-D1F6-4A1A-8010-6FDEEC4E7D5B}">
  <dimension ref="A1:R36"/>
  <sheetViews>
    <sheetView showGridLines="0" showRowColHeaders="0" tabSelected="1" workbookViewId="0">
      <selection activeCell="O24" sqref="O24"/>
    </sheetView>
  </sheetViews>
  <sheetFormatPr defaultColWidth="0" defaultRowHeight="14.4" zeroHeight="1" x14ac:dyDescent="0.55000000000000004"/>
  <cols>
    <col min="1" max="1" width="21" style="30" customWidth="1"/>
    <col min="2" max="13" width="8.83984375" customWidth="1"/>
    <col min="14" max="14" width="8.26171875" customWidth="1"/>
    <col min="15" max="15" width="19.05078125" customWidth="1"/>
    <col min="16" max="16" width="1.5234375" customWidth="1"/>
    <col min="17" max="17" width="13.734375" style="30" customWidth="1"/>
    <col min="18" max="18" width="10.3125" style="30" customWidth="1"/>
    <col min="19" max="16384" width="8.83984375" hidden="1"/>
  </cols>
  <sheetData>
    <row r="1" spans="1:18" x14ac:dyDescent="0.55000000000000004">
      <c r="A1" s="31"/>
      <c r="Q1" s="31"/>
      <c r="R1" s="31"/>
    </row>
    <row r="2" spans="1:18" ht="36.9" customHeight="1" thickBot="1" x14ac:dyDescent="0.6">
      <c r="A2" s="31"/>
      <c r="C2" s="33" t="s">
        <v>521</v>
      </c>
      <c r="D2" s="34"/>
      <c r="E2" s="34"/>
      <c r="F2" s="34"/>
      <c r="G2" s="34"/>
      <c r="H2" s="34"/>
      <c r="I2" s="34"/>
      <c r="J2" s="34"/>
      <c r="K2" s="35"/>
      <c r="O2" s="39" t="s">
        <v>519</v>
      </c>
      <c r="P2" s="39"/>
      <c r="Q2" s="39"/>
      <c r="R2" s="31"/>
    </row>
    <row r="3" spans="1:18" ht="4.5" customHeight="1" thickTop="1" x14ac:dyDescent="0.55000000000000004">
      <c r="A3" s="31"/>
      <c r="C3" s="37"/>
      <c r="D3" s="38"/>
      <c r="E3" s="38"/>
      <c r="F3" s="38"/>
      <c r="G3" s="38"/>
      <c r="H3" s="38"/>
      <c r="I3" s="38"/>
      <c r="J3" s="38"/>
      <c r="K3" s="40"/>
      <c r="O3" s="36"/>
      <c r="P3" s="36"/>
      <c r="Q3" s="31"/>
      <c r="R3" s="31"/>
    </row>
    <row r="4" spans="1:18" x14ac:dyDescent="0.55000000000000004">
      <c r="A4" s="31"/>
      <c r="Q4" s="31"/>
      <c r="R4" s="31"/>
    </row>
    <row r="5" spans="1:18" x14ac:dyDescent="0.55000000000000004"/>
    <row r="6" spans="1:18" x14ac:dyDescent="0.55000000000000004"/>
    <row r="7" spans="1:18" x14ac:dyDescent="0.55000000000000004"/>
    <row r="8" spans="1:18" x14ac:dyDescent="0.55000000000000004"/>
    <row r="9" spans="1:18" x14ac:dyDescent="0.55000000000000004"/>
    <row r="10" spans="1:18" x14ac:dyDescent="0.55000000000000004"/>
    <row r="11" spans="1:18" x14ac:dyDescent="0.55000000000000004"/>
    <row r="12" spans="1:18" x14ac:dyDescent="0.55000000000000004"/>
    <row r="13" spans="1:18" x14ac:dyDescent="0.55000000000000004"/>
    <row r="14" spans="1:18" x14ac:dyDescent="0.55000000000000004"/>
    <row r="15" spans="1:18" x14ac:dyDescent="0.55000000000000004"/>
    <row r="16" spans="1:18" x14ac:dyDescent="0.55000000000000004"/>
    <row r="17" spans="11:11" x14ac:dyDescent="0.55000000000000004"/>
    <row r="18" spans="11:11" x14ac:dyDescent="0.55000000000000004">
      <c r="K18" s="41"/>
    </row>
    <row r="19" spans="11:11" x14ac:dyDescent="0.55000000000000004"/>
    <row r="20" spans="11:11" x14ac:dyDescent="0.55000000000000004"/>
    <row r="21" spans="11:11" x14ac:dyDescent="0.55000000000000004"/>
    <row r="22" spans="11:11" x14ac:dyDescent="0.55000000000000004"/>
    <row r="23" spans="11:11" x14ac:dyDescent="0.55000000000000004"/>
    <row r="24" spans="11:11" x14ac:dyDescent="0.55000000000000004"/>
    <row r="25" spans="11:11" x14ac:dyDescent="0.55000000000000004"/>
    <row r="26" spans="11:11" x14ac:dyDescent="0.55000000000000004"/>
    <row r="27" spans="11:11" x14ac:dyDescent="0.55000000000000004"/>
    <row r="28" spans="11:11" x14ac:dyDescent="0.55000000000000004"/>
    <row r="29" spans="11:11" x14ac:dyDescent="0.55000000000000004"/>
    <row r="30" spans="11:11" x14ac:dyDescent="0.55000000000000004"/>
    <row r="31" spans="11:11" x14ac:dyDescent="0.55000000000000004"/>
    <row r="32" spans="11:11" x14ac:dyDescent="0.55000000000000004"/>
    <row r="33" spans="1:1" ht="18.3" x14ac:dyDescent="0.55000000000000004">
      <c r="A33" s="44" t="s">
        <v>523</v>
      </c>
    </row>
    <row r="34" spans="1:1" x14ac:dyDescent="0.55000000000000004"/>
    <row r="35" spans="1:1" x14ac:dyDescent="0.55000000000000004"/>
    <row r="36" spans="1:1" x14ac:dyDescent="0.55000000000000004"/>
  </sheetData>
  <mergeCells count="1">
    <mergeCell ref="O2:Q2"/>
  </mergeCells>
  <pageMargins left="0.511811024" right="0.511811024" top="0.78740157499999996" bottom="0.78740157499999996" header="0.31496062000000002" footer="0.31496062000000002"/>
  <pageSetup orientation="portrait" horizontalDpi="4294967293" verticalDpi="0" r:id="rId1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29B0AE4-C5CB-4C2C-B1A3-4D32E4FC097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Assets</vt:lpstr>
      <vt:lpstr>Base Origin</vt:lpstr>
      <vt:lpstr>Base</vt:lpstr>
      <vt:lpstr>Calculation</vt:lpstr>
      <vt:lpstr>Dashboard - Page 01</vt:lpstr>
      <vt:lpstr>Dashboard - Page 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Gislaine Lilo</dc:creator>
  <cp:lastModifiedBy>Gislaine Lilo</cp:lastModifiedBy>
  <dcterms:created xsi:type="dcterms:W3CDTF">2026-03-08T16:12:55Z</dcterms:created>
  <dcterms:modified xsi:type="dcterms:W3CDTF">2026-03-09T06:22:45Z</dcterms:modified>
</cp:coreProperties>
</file>